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2240"/>
  </bookViews>
  <sheets>
    <sheet name="科技节集卡册数值需求" sheetId="1" r:id="rId1"/>
    <sheet name="卡包BP数值" sheetId="2" r:id="rId2"/>
    <sheet name="节日三合一礼包投放数值" sheetId="3" r:id="rId3"/>
    <sheet name="配置辅助" sheetId="4" r:id="rId4"/>
    <sheet name="竞品参考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G34" authorId="0">
      <text>
        <r>
          <rPr>
            <sz val="10"/>
            <rFont val="宋体"/>
            <charset val="134"/>
          </rPr>
          <t>这里3星是普通的</t>
        </r>
      </text>
    </comment>
    <comment ref="G35" authorId="0">
      <text>
        <r>
          <rPr>
            <sz val="10"/>
            <rFont val="宋体"/>
            <charset val="134"/>
          </rPr>
          <t xml:space="preserve">这里可随机出自己没有的普通3星、特殊3星
</t>
        </r>
      </text>
    </comment>
    <comment ref="G36" authorId="0">
      <text>
        <r>
          <rPr>
            <sz val="10"/>
            <rFont val="宋体"/>
            <charset val="134"/>
          </rPr>
          <t>这里可以选到特殊3星和普通3星</t>
        </r>
      </text>
    </comment>
  </commentList>
</comments>
</file>

<file path=xl/sharedStrings.xml><?xml version="1.0" encoding="utf-8"?>
<sst xmlns="http://schemas.openxmlformats.org/spreadsheetml/2006/main" count="560" uniqueCount="245">
  <si>
    <t>1、卡片定价</t>
  </si>
  <si>
    <t>1星卡</t>
  </si>
  <si>
    <t>2星卡</t>
  </si>
  <si>
    <t>3星卡</t>
  </si>
  <si>
    <t>4星卡</t>
  </si>
  <si>
    <t>5星卡</t>
  </si>
  <si>
    <t>自选卡</t>
  </si>
  <si>
    <t>卡片定价</t>
  </si>
  <si>
    <t>卡片美刀</t>
  </si>
  <si>
    <t>回收积分</t>
  </si>
  <si>
    <t>-</t>
  </si>
  <si>
    <t>获取积分</t>
  </si>
  <si>
    <t>自选箱价值CD</t>
  </si>
  <si>
    <t>60分钟加速价值CD</t>
  </si>
  <si>
    <t>自选箱价值$</t>
  </si>
  <si>
    <t>60分钟加速价值$</t>
  </si>
  <si>
    <t>2、卡册预期数量&amp;奖励投放&amp;整体卡册投放</t>
  </si>
  <si>
    <t>卡册编号</t>
  </si>
  <si>
    <t>卡册主题</t>
  </si>
  <si>
    <t>总卡册数量</t>
  </si>
  <si>
    <t>特殊5星稀有卡</t>
  </si>
  <si>
    <t>卡片CD价值</t>
  </si>
  <si>
    <t>节日自选箱</t>
  </si>
  <si>
    <t>60分钟训练加速</t>
  </si>
  <si>
    <t>特殊奖励1</t>
  </si>
  <si>
    <t>特殊奖励2</t>
  </si>
  <si>
    <t>奖励价值$</t>
  </si>
  <si>
    <t>奖励CD价值</t>
  </si>
  <si>
    <t>CD ROI</t>
  </si>
  <si>
    <t>科技泛用主题</t>
  </si>
  <si>
    <t>大富翁</t>
  </si>
  <si>
    <t>大富翁皮肤</t>
  </si>
  <si>
    <t>挖矿</t>
  </si>
  <si>
    <t>打孔</t>
  </si>
  <si>
    <t>弹珠小游戏</t>
  </si>
  <si>
    <t>弹珠皮肤</t>
  </si>
  <si>
    <t>推币机</t>
  </si>
  <si>
    <t>总卡册奖励</t>
  </si>
  <si>
    <t>科技节头像框</t>
  </si>
  <si>
    <t>永久资源增产特权20%-粮食</t>
  </si>
  <si>
    <t>总数量</t>
  </si>
  <si>
    <t>总投放价值</t>
  </si>
  <si>
    <t>卡册整体投放</t>
  </si>
  <si>
    <t>节日卡包总投放活动</t>
  </si>
  <si>
    <t>活动名称</t>
  </si>
  <si>
    <t>数值链接</t>
  </si>
  <si>
    <t>三合一礼包</t>
  </si>
  <si>
    <t>https://docs.google.com/spreadsheets/d/1Ia-eYU96M6JqB94Dp_JwNE7mICuNhosfOdHLwARHrnU/edit?gid=1364349177#gid=1364349177&amp;range=13:17</t>
  </si>
  <si>
    <t>卡包BP</t>
  </si>
  <si>
    <t>https://docs.google.com/spreadsheets/d/1Ia-eYU96M6JqB94Dp_JwNE7mICuNhosfOdHLwARHrnU/edit?gid=87578117#gid=87578117&amp;range=1:1</t>
  </si>
  <si>
    <t>BINGO</t>
  </si>
  <si>
    <t>复用活动</t>
  </si>
  <si>
    <t>7日</t>
  </si>
  <si>
    <t>掉落转付费</t>
  </si>
  <si>
    <t>普通大富翁</t>
  </si>
  <si>
    <t>挖矿小游戏</t>
  </si>
  <si>
    <t>弹珠</t>
  </si>
  <si>
    <t>破译计划</t>
  </si>
  <si>
    <t>多条件连锁</t>
  </si>
  <si>
    <t>节日投放卡包</t>
  </si>
  <si>
    <t>理论总节日卡包投放</t>
  </si>
  <si>
    <t>实际投放</t>
  </si>
  <si>
    <t>BINGO投放卡包</t>
  </si>
  <si>
    <t>7日投放卡包</t>
  </si>
  <si>
    <t>道具ID</t>
  </si>
  <si>
    <t>白色卡包</t>
  </si>
  <si>
    <t>节日白色保底卡包</t>
  </si>
  <si>
    <t>绿色卡包</t>
  </si>
  <si>
    <t>36（付费）</t>
  </si>
  <si>
    <t>节日绿色保底卡包</t>
  </si>
  <si>
    <t>蓝色卡包</t>
  </si>
  <si>
    <t>6（排行榜）</t>
  </si>
  <si>
    <t>节日蓝色保底卡包</t>
  </si>
  <si>
    <t>紫色卡包</t>
  </si>
  <si>
    <t>3（排行榜）</t>
  </si>
  <si>
    <t>节日紫色保底卡包</t>
  </si>
  <si>
    <t>白金卡包</t>
  </si>
  <si>
    <t>节日橙色保底卡包</t>
  </si>
  <si>
    <t>彩色卡包-挖孔</t>
  </si>
  <si>
    <t>挖孔主题卡包</t>
  </si>
  <si>
    <t>彩色卡包-挖矿</t>
  </si>
  <si>
    <t>挖矿主题卡包</t>
  </si>
  <si>
    <t>彩色卡包-弹珠</t>
  </si>
  <si>
    <t>弹珠主题卡包</t>
  </si>
  <si>
    <t>彩色卡包-推币机</t>
  </si>
  <si>
    <t>推币机主题卡包</t>
  </si>
  <si>
    <t>彩色卡包-大富翁</t>
  </si>
  <si>
    <t>大富翁主题卡包</t>
  </si>
  <si>
    <t>3、卡包预期概率</t>
  </si>
  <si>
    <t>初始概率</t>
  </si>
  <si>
    <t>卡片数量</t>
  </si>
  <si>
    <t>卡片保底</t>
  </si>
  <si>
    <t>1星概率</t>
  </si>
  <si>
    <t>2星概率</t>
  </si>
  <si>
    <t>3星概率</t>
  </si>
  <si>
    <t>4星概率</t>
  </si>
  <si>
    <t>5星概率</t>
  </si>
  <si>
    <t>至少1*2星+</t>
  </si>
  <si>
    <t>至少1*3星+</t>
  </si>
  <si>
    <t>至少1*4星+</t>
  </si>
  <si>
    <t>金色卡包</t>
  </si>
  <si>
    <t>至少1*5星</t>
  </si>
  <si>
    <t>专属卡包</t>
  </si>
  <si>
    <t>全部3星+</t>
  </si>
  <si>
    <t>4、卡包其中保底卡概率</t>
  </si>
  <si>
    <t>保底实际分布</t>
  </si>
  <si>
    <t>自选卡包</t>
  </si>
  <si>
    <t>自选任意一张卡</t>
  </si>
  <si>
    <t>必出未拥有卡包</t>
  </si>
  <si>
    <t>保底机制：当前两张卡抽取均为低于X星时，第三张必从X星卡池中抽一张</t>
  </si>
  <si>
    <t>加保底后实际分布</t>
  </si>
  <si>
    <t>1星预期数量</t>
  </si>
  <si>
    <t>2星预期数量</t>
  </si>
  <si>
    <t>3星预期数量</t>
  </si>
  <si>
    <t>4星预期数量</t>
  </si>
  <si>
    <t>5星预期数量</t>
  </si>
  <si>
    <t>节日投放数量</t>
  </si>
  <si>
    <t>实际价值</t>
  </si>
  <si>
    <t>定位</t>
  </si>
  <si>
    <t>每日活跃</t>
  </si>
  <si>
    <t>纯付费、排行榜</t>
  </si>
  <si>
    <t>顶级活跃卡</t>
  </si>
  <si>
    <t>累计投放</t>
  </si>
  <si>
    <t>极限获取投放后缺口情况</t>
  </si>
  <si>
    <t>不重复总量</t>
  </si>
  <si>
    <t>预期获取数量</t>
  </si>
  <si>
    <t>如果非重复数量要获取数量</t>
  </si>
  <si>
    <t>预期不重复数量</t>
  </si>
  <si>
    <t>付费缺口</t>
  </si>
  <si>
    <t>重复数量</t>
  </si>
  <si>
    <t>重复兑换限定币</t>
  </si>
  <si>
    <t>1星</t>
  </si>
  <si>
    <t>2星</t>
  </si>
  <si>
    <t>3星</t>
  </si>
  <si>
    <t>4星</t>
  </si>
  <si>
    <t>5星</t>
  </si>
  <si>
    <t>图鉴1-商店--卡包1</t>
  </si>
  <si>
    <t>{"drop":{"typ":"single_random","num":1,"args":[{"typ":"card_group","num":1,"args":[{"id":60011001},{"id":60021001}],"wgt":10000}]}}</t>
  </si>
  <si>
    <t>图鉴2-商店--卡包1-2星</t>
  </si>
  <si>
    <t>{"drop":{"typ":"single_random","num":1,"args":[{"typ":"card_star","id":3,"num":1,"args":[{"id":60011002}],"wgt":9000},{"typ":"card_star","id":4,"num":1,"args":[{"id":60011002}],"wgt":1000}]}}</t>
  </si>
  <si>
    <t xml:space="preserve"> {"drop": {"typ":"single_all","num":1,"args":[{"typ":"single_random","num":1,"args":[{"typ":"card_star","id":1,"num":1,"args":[{"id":60011004}],"wgt":9000},{"typ":"card_star","id":2,"num":1,"args":[{"id":60011004}],"wgt":800},{"typ":"card_star","id":3,"num":1,"args":[{"id":60011004}],"wgt":100},{"typ":"card_star","id":4,"num":1,"args":[{"id":60011004}],"wgt":49},{"typ":"card_star","id":5,"num":1,"args":[{"id":60011004}],"wgt":1}]},{"typ":"single_random","num":1,"args":[{"typ":"card_star","id":2,"num":1,"args":[{"id":60011004}],"wgt":8400},{"typ":"card_star","id":3,"num":1,"args":[{"id":60011004}],"wgt":1400},{"typ":"card_star","id":4,"num":1,"args":[{"id":60011004}],"wgt":198},{"typ":"card_star","id":5,"num":1,"args":[{"id":60011004}],"wgt":2}]},{"typ":"single_random","num":1,"args":[{"typ":"item","id":11111123,"num":1,"wgt":250},{"typ":"item","id":11111133,"num":1,"wgt":250},{"typ":"item","id":11111143,"num":1,"wgt":250},{"typ":"item","id":11111153,"num":1,"wgt":250}]},{"typ":"single_random","num":1,"args":[{"typ":"empty","wgt":100},{"typ":"item","id":11117029,"num":1,"wgt":500},{"typ":"item","id":11117029,"num":3,"wgt":300},{"typ":"item","id":11117029,"num":6,"wgt":100}]}]}}</t>
  </si>
  <si>
    <t>BP数值</t>
  </si>
  <si>
    <t>纯活跃获得经验，不算成本价值</t>
  </si>
  <si>
    <t>满级20级</t>
  </si>
  <si>
    <t>售价：4.99</t>
  </si>
  <si>
    <t>付费价格</t>
  </si>
  <si>
    <t>付费奖励价值</t>
  </si>
  <si>
    <t>付费ROI</t>
  </si>
  <si>
    <t>免费奖励</t>
  </si>
  <si>
    <t>付费奖励</t>
  </si>
  <si>
    <t>等级</t>
  </si>
  <si>
    <t>需要积分</t>
  </si>
  <si>
    <t>累积积分</t>
  </si>
  <si>
    <t>奖励</t>
  </si>
  <si>
    <t>数量</t>
  </si>
  <si>
    <t>付费成本</t>
  </si>
  <si>
    <t>奖励1</t>
  </si>
  <si>
    <t>付费额度</t>
  </si>
  <si>
    <t>奖励2</t>
  </si>
  <si>
    <t>{"typ":"item","id":xxx,"val":1}</t>
  </si>
  <si>
    <t>60分钟加速</t>
  </si>
  <si>
    <t>橙色卡包</t>
  </si>
  <si>
    <t>节日自选卡包</t>
  </si>
  <si>
    <t>BP任务</t>
  </si>
  <si>
    <t>每日重置任务：</t>
  </si>
  <si>
    <t>数值</t>
  </si>
  <si>
    <t>行为单值（CD)</t>
  </si>
  <si>
    <t>任务价值</t>
  </si>
  <si>
    <t>奖励积分（实际使用值）</t>
  </si>
  <si>
    <t>登录x次</t>
  </si>
  <si>
    <t>PVEx次</t>
  </si>
  <si>
    <t>GVEx次</t>
  </si>
  <si>
    <t>完成探索任务x次</t>
  </si>
  <si>
    <t>消耗加速x分钟</t>
  </si>
  <si>
    <t>获取x颗节日卡册星星</t>
  </si>
  <si>
    <t>节日三合一礼包</t>
  </si>
  <si>
    <t>卡册数值</t>
  </si>
  <si>
    <t>https://docs.google.com/spreadsheets/d/1Ia-eYU96M6JqB94Dp_JwNE7mICuNhosfOdHLwARHrnU/edit?gid=1486790828#gid=1486790828</t>
  </si>
  <si>
    <t>实际价值（$）</t>
  </si>
  <si>
    <t>集卡礼包投放-节日（最后周）</t>
  </si>
  <si>
    <t>美刀价值</t>
  </si>
  <si>
    <t>ROI</t>
  </si>
  <si>
    <t>系统三合一礼包</t>
  </si>
  <si>
    <t>https://docs.google.com/spreadsheets/d/1h4RQR7RIQij5nEmdvTpZiC9hOR8jeQ3UkuOoCAcBYs8/edit?gid=0#gid=0</t>
  </si>
  <si>
    <t>运营可售卡包</t>
  </si>
  <si>
    <t>1、3星新卡、自选，两个卡包都是普通、特殊3星都能出的，2-3星随机包只能产出普通3星，因此3星新卡和自选共享特殊3星的量</t>
  </si>
  <si>
    <t>2、可溢出一些，溢出2-3星随机卡包即可，让大佬捐献</t>
  </si>
  <si>
    <t>3星卡数量</t>
  </si>
  <si>
    <t>卡册1</t>
  </si>
  <si>
    <t>卡册2</t>
  </si>
  <si>
    <t>卡册3</t>
  </si>
  <si>
    <t>3星特殊</t>
  </si>
  <si>
    <t>卡包/星星量</t>
  </si>
  <si>
    <t>CD定价</t>
  </si>
  <si>
    <t>美元定价</t>
  </si>
  <si>
    <t>投放时间d</t>
  </si>
  <si>
    <t>3星新卡产出-d</t>
  </si>
  <si>
    <t>2-3星卡包：大概率开出2星，小概率开出3星</t>
  </si>
  <si>
    <t>3星自选卡产出-d</t>
  </si>
  <si>
    <t>3星新卡卡包：在自己没有的3星中随机一张。</t>
  </si>
  <si>
    <t>2-3星卡产出-d</t>
  </si>
  <si>
    <t>3星自选卡包：在指定卡册的3星卡中，自选</t>
  </si>
  <si>
    <t>2-3星卡产出-d-修正数值</t>
  </si>
  <si>
    <t>每日3星卡产量</t>
  </si>
  <si>
    <t>90天3星卡总产量</t>
  </si>
  <si>
    <t>卡册1卡包投放</t>
  </si>
  <si>
    <t>2-3星卡</t>
  </si>
  <si>
    <t>3星新卡</t>
  </si>
  <si>
    <t>3星自选卡</t>
  </si>
  <si>
    <t>每日特惠1.99</t>
  </si>
  <si>
    <t>折扣特惠每日4.99档</t>
  </si>
  <si>
    <t>集卡礼包每周</t>
  </si>
  <si>
    <t>集卡礼包投放-周</t>
  </si>
  <si>
    <t>卡册2卡包投放</t>
  </si>
  <si>
    <t>roi</t>
  </si>
  <si>
    <t>卡册3卡包投放</t>
  </si>
  <si>
    <t>每日特惠</t>
  </si>
  <si>
    <t>配置相关</t>
  </si>
  <si>
    <t>{"typ":"card_star","id":1,"num":1,"args":[{"id":60011004}],"wgt":9000}</t>
  </si>
  <si>
    <t>{"typ":"card_star","id":2,"num":1,"args":[{"id":60011004}],"wgt":800}</t>
  </si>
  <si>
    <t>{"typ":"card_star","id":3,"num":1,"args":[{"id":60011004}],"wgt":100}</t>
  </si>
  <si>
    <t xml:space="preserve"> {"drop": {"typ":"single_all","num":1,"args":[{"typ":"single_random","num":1,"args":[{"typ":"card_star","id":1,"num":1,"args":[{"id":60011004}],"wgt":9000},{"typ":"card_star","id":2,"num":1,"args":[{"id":60011004}],"wgt":800},{"typ":"card_star","id":3,"num":1,"args":[{"id":60011004}],"wgt":100},{"typ":"card_star","id":4,"num":1,"args":[{"id":60011004}],"wgt":49},{"typ":"card_star","id":5,"num":1,"args":[{"id":60011004}],"wgt":1}]}]}}</t>
  </si>
  <si>
    <t>{"typ":"card_star","id":1,"num":1,"args":[{"id":60011004}],"wgt":8400}</t>
  </si>
  <si>
    <t>{"typ":"card_star","id":1,"num":1,"args":[{"id":60011004}],"wgt":1400}</t>
  </si>
  <si>
    <t xml:space="preserve"> {"drop": {"typ":"single_all","num":1,"args":[{"typ":"single_random","num":1,"args":[{"typ":"card_star","id":2,"num":1,"args":[{"id":60011004}],"wgt":8400},{"typ":"card_star","id":3,"num":1,"args":[{"id":60011004}],"wgt":1400},{"typ":"card_star","id":4,"num":1,"args":[{"id":60011004}],"wgt":198},{"typ":"card_star","id":5,"num":1,"args":[{"id":60011004}],"wgt":2}]}]}}</t>
  </si>
  <si>
    <t>{"typ":"card_star","id":4,"num":1,"args":[{"id":60011004}],"wgt":49}</t>
  </si>
  <si>
    <t>{"typ":"card_star","id":5,"num":1,"args":[{"id":60011004}],"wgt":1}</t>
  </si>
  <si>
    <t xml:space="preserve"> {"drop": {"typ":"single_all","num":1,"args":[{"typ":"single_random","num":1,"args":[{"typ":"card_star","id":1,"num":1,"args":[{"id":60011004}],"wgt":9000},{"typ":"card_star","id":2,"num":1,"args":[{"id":60011004}],"wgt":800},{"typ":"card_star","id":3,"num":1,"args":[{"id":60011004}],"wgt":100},{"typ":"card_star","id":4,"num":1,"args":[{"id":60011004}],"wgt":49},{"typ":"card_star","id":5,"num":1,"args":[{"id":60011004}],"wgt":1}]},{"typ":"single_random","num":1,"args":[{"typ":"card_star","id":3,"num":1,"args":[{"id":60011004}],"wgt":8750},{"typ":"card_star","id":4,"num":1,"args":[{"id":60011004}],"wgt":1240},{"typ":"card_star","id":5,"num":1,"args":[{"id":60011004}],"wgt":10}]},{"typ":"single_random","num":1,"args":[{"typ":"card_star","id":1,"num":1,"args":[{"id":60011004}],"wgt":9000},{"typ":"card_star","id":2,"num":1,"args":[{"id":60011004}],"wgt":800},{"typ":"card_star","id":3,"num":1,"args":[{"id":60011004}],"wgt":100},{"typ":"card_star","id":4,"num":1,"args":[{"id":60011004}],"wgt":49},{"typ":"card_star","id":5,"num":1,"args":[{"id":60011004}],"wgt":1}]}]}}</t>
  </si>
  <si>
    <t>{"typ":"card_star","id":1,"num":1,"args":[{"id":60011004}],"wgt":198}</t>
  </si>
  <si>
    <t>{"typ":"card_star","id":1,"num":1,"args":[{"id":60011004}],"wgt":2}</t>
  </si>
  <si>
    <t xml:space="preserve"> {"drop": {"typ":"single_all","num":1,"args":[{"typ":"single_random","num":1,"args":[{"typ":"card_star","id":1,"num":1,"args":[{"id":60011004}],"wgt":9000},{"typ":"card_star","id":2,"num":1,"args":[{"id":60011004}],"wgt":800},{"typ":"card_star","id":3,"num":1,"args":[{"id":60011004}],"wgt":100},{"typ":"card_star","id":4,"num":1,"args":[{"id":60011004}],"wgt":49},{"typ":"card_star","id":5,"num":1,"args":[{"id":60011004}],"wgt":1}]},{"typ":"single_random","num":1,"args":[{"typ":"card_star","id":4,"num":1,"args":[{"id":60011004}],"wgt":8750},{"typ":"card_star","id":5,"num":1,"args":[{"id":60011004}],"wgt":1250}]},{"typ":"single_random","num":1,"args":[{"typ":"card_star","id":1,"num":1,"args":[{"id":60011004}],"wgt":9000},{"typ":"card_star","id":2,"num":1,"args":[{"id":60011004}],"wgt":800},{"typ":"card_star","id":3,"num":1,"args":[{"id":60011004}],"wgt":100},{"typ":"card_star","id":4,"num":1,"args":[{"id":60011004}],"wgt":49},{"typ":"card_star","id":5,"num":1,"args":[{"id":60011004}],"wgt":1}]}]}}</t>
  </si>
  <si>
    <t xml:space="preserve"> {"drop": {"typ":"single_all","num":1,"args":[{"typ":"single_random","num":1,"args":[{"typ":"card_star","id":1,"num":1,"args":[{"id":60011004}],"wgt":9000},{"typ":"card_star","id":2,"num":1,"args":[{"id":60011004}],"wgt":800},{"typ":"card_star","id":3,"num":1,"args":[{"id":60011004}],"wgt":100},{"typ":"card_star","id":4,"num":1,"args":[{"id":60011004}],"wgt":49},{"typ":"card_star","id":5,"num":1,"args":[{"id":60011004}],"wgt":1}]},{"typ":"single_random","num":1,"args":[{"typ":"card_star","id":5,"num":1,"args":[{"id":60011004}],"wgt":1250}]},{"typ":"single_random","num":1,"args":[{"typ":"card_star","id":1,"num":1,"args":[{"id":60011004}],"wgt":9000},{"typ":"card_star","id":2,"num":1,"args":[{"id":60011004}],"wgt":800},{"typ":"card_star","id":3,"num":1,"args":[{"id":60011004}],"wgt":100},{"typ":"card_star","id":4,"num":1,"args":[{"id":60011004}],"wgt":49},{"typ":"card_star","id":5,"num":1,"args":[{"id":60011004}],"wgt":1}]}]}}</t>
  </si>
  <si>
    <t xml:space="preserve"> {"drop": {"typ":"single_all","num":1,"args":[{"typ":"single_random","num":1,"args":[{"typ":"card_star","id":3,"num":1,"args":[{"id":60011004},{"id":60021306}],"wgt":8000},{"typ":"card_star","id":4,"num":1,"args":[{"id":60011004},{"id":60021306}],"wgt":1800},{"typ":"card_star","id":5,"num":1,"args":[{"id":60011004},{"id":60021306}],"wgt":200}]},{"typ":"single_random","num":1,"args":[{"typ":"card_star","id":3,"num":1,"args":[{"id":60011004},{"id":60021306}],"wgt":8000},{"typ":"card_star","id":4,"num":1,"args":[{"id":60011004},{"id":60021306}],"wgt":1800},{"typ":"card_star","id":5,"num":1,"args":[{"id":60011004},{"id":60021306}],"wgt":200}]}]}}</t>
  </si>
  <si>
    <t xml:space="preserve"> {"drop": {"typ":"single_all","num":1,"args":[{"typ":"single_random","num":1,"args":[{"typ":"card_star","id":3,"num":1,"args":[{"id":60011004},{"id":60021305}],"wgt":8000},{"typ":"card_star","id":4,"num":1,"args":[{"id":60011004},{"id":60021305}],"wgt":1800},{"typ":"card_star","id":5,"num":1,"args":[{"id":60011004},{"id":60021305}],"wgt":200}]},{"typ":"single_random","num":1,"args":[{"typ":"card_star","id":3,"num":1,"args":[{"id":60011004},{"id":60021305}],"wgt":8000},{"typ":"card_star","id":4,"num":1,"args":[{"id":60011004},{"id":60021305}],"wgt":1800},{"typ":"card_star","id":5,"num":1,"args":[{"id":60011004},{"id":60021305}],"wgt":200}]}]}}</t>
  </si>
  <si>
    <t xml:space="preserve"> {"drop": {"typ":"single_all","num":1,"args":[{"typ":"single_random","num":1,"args":[{"typ":"card_star","id":3,"num":1,"args":[{"id":60011004},{"id":60021308}],"wgt":8000},{"typ":"card_star","id":4,"num":1,"args":[{"id":60011004},{"id":60021308}],"wgt":1800},{"typ":"card_star","id":5,"num":1,"args":[{"id":60011004},{"id":60021308}],"wgt":200}]},{"typ":"single_random","num":1,"args":[{"typ":"card_star","id":3,"num":1,"args":[{"id":60011004},{"id":60021308}],"wgt":8000},{"typ":"card_star","id":4,"num":1,"args":[{"id":60011004},{"id":60021308}],"wgt":1800},{"typ":"card_star","id":5,"num":1,"args":[{"id":60011004},{"id":60021308}],"wgt":200}]}]}}</t>
  </si>
  <si>
    <t xml:space="preserve"> {"drop": {"typ":"single_all","num":1,"args":[{"typ":"single_random","num":1,"args":[{"typ":"card_star","id":3,"num":1,"args":[{"id":60011004},{"id":60021309}],"wgt":8000},{"typ":"card_star","id":4,"num":1,"args":[{"id":60011004},{"id":60021309}],"wgt":1800},{"typ":"card_star","id":5,"num":1,"args":[{"id":60011004},{"id":60021309}],"wgt":200}]},{"typ":"single_random","num":1,"args":[{"typ":"card_star","id":3,"num":1,"args":[{"id":60011004},{"id":60021309}],"wgt":8000},{"typ":"card_star","id":4,"num":1,"args":[{"id":60011004},{"id":60021309}],"wgt":1800},{"typ":"card_star","id":5,"num":1,"args":[{"id":60011004},{"id":60021309}],"wgt":200}]}]}}</t>
  </si>
  <si>
    <t xml:space="preserve"> {"drop": {"typ":"single_all","num":1,"args":[{"typ":"single_random","num":1,"args":[{"typ":"card_star","id":3,"num":1,"args":[{"id":60011004},{"id":60021304}],"wgt":8000},{"typ":"card_star","id":4,"num":1,"args":[{"id":60011004},{"id":60021304}],"wgt":1800},{"typ":"card_star","id":5,"num":1,"args":[{"id":60011004},{"id":60021304}],"wgt":200}]},{"typ":"single_random","num":1,"args":[{"typ":"card_star","id":3,"num":1,"args":[{"id":60011004},{"id":60021304}],"wgt":8000},{"typ":"card_star","id":4,"num":1,"args":[{"id":60011004},{"id":60021304}],"wgt":1800},{"typ":"card_star","id":5,"num":1,"args":[{"id":60011004},{"id":60021304}],"wgt":200}]}]}}</t>
  </si>
  <si>
    <t>{"drop":{"typ":"single_random","num":1,"args":[{"typ":"card_star","id":1,"num":1,"args":[{"id":60011004}],"wgt":9000},{"typ":"card_star","id":2,"num":1,"args":[{"id":60011004}],"wgt":800},{"typ":"card_star","id":3,"num":1,"args":[{"id":60011004}],"wgt":100},{"typ":"card_star","id":4,"num":1,"args":[{"id":60011004}],"wgt":49},{"typ":"card_star","id":5,"num":1,"args":[{"id":60011004}],"wgt":1}]}}</t>
  </si>
  <si>
    <t>{"drop":{"typ":"single_all","num":1,"args":[{"typ":"single_random","num":1,"args":[{"typ":"item","id":11117297,"num":1,"wgt":100},{"typ":"item","id":11117297,"num":2,"wgt":200},{"typ":"item","id":11117297,"num":3,"wgt":300}]},{"typ":"single_random","num":1,"args":[{"typ":"item","id":11116304,"num":1,"wgt":10},{"typ":"item","id":11116303,"num":1,"wgt":200},{"typ":"item","id":11116302,"num":1,"wgt":600}]}]}}</t>
  </si>
  <si>
    <t>参考数值</t>
  </si>
  <si>
    <t>P2数值</t>
  </si>
  <si>
    <t>金头</t>
  </si>
  <si>
    <t>BUFF：训练速度+2%</t>
  </si>
  <si>
    <t>8小时加速</t>
  </si>
  <si>
    <t>节日头像框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</si>
</sst>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"/>
  </numFmts>
  <fonts count="28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u/>
      <sz val="10"/>
      <color rgb="FF0000FF"/>
      <name val="Arial"/>
      <charset val="134"/>
      <scheme val="minor"/>
    </font>
    <font>
      <b/>
      <sz val="13"/>
      <color theme="1"/>
      <name val="Arial"/>
      <charset val="134"/>
      <scheme val="minor"/>
    </font>
    <font>
      <b/>
      <sz val="10"/>
      <color rgb="FF1F1F1F"/>
      <name val="&quot;Google Sans Text&quot;"/>
      <charset val="134"/>
    </font>
    <font>
      <sz val="10"/>
      <color rgb="FF1F1F1F"/>
      <name val="&quot;Google Sans Text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/>
    <xf numFmtId="177" fontId="1" fillId="0" borderId="0" xfId="0" applyNumberFormat="1" applyFont="1"/>
    <xf numFmtId="0" fontId="4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0" fontId="1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2" fillId="4" borderId="0" xfId="0" applyFont="1" applyFill="1" applyAlignment="1">
      <alignment horizontal="right"/>
    </xf>
    <xf numFmtId="1" fontId="1" fillId="0" borderId="0" xfId="0" applyNumberFormat="1" applyFont="1"/>
    <xf numFmtId="177" fontId="1" fillId="0" borderId="0" xfId="0" applyNumberFormat="1" applyFont="1" applyAlignment="1">
      <alignment horizontal="center"/>
    </xf>
    <xf numFmtId="10" fontId="2" fillId="0" borderId="0" xfId="0" applyNumberFormat="1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177" fontId="1" fillId="0" borderId="1" xfId="0" applyNumberFormat="1" applyFont="1" applyBorder="1" applyAlignment="1">
      <alignment horizontal="center"/>
    </xf>
    <xf numFmtId="177" fontId="1" fillId="2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4953000" cy="2019300"/>
    <xdr:pic>
      <xdr:nvPicPr>
        <xdr:cNvPr id="2" name="image1.png" title="图片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4953000" cy="2019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Ia-eYU96M6JqB94Dp_JwNE7mICuNhosfOdHLwARHrnU/edit?gid=87578117" TargetMode="External"/><Relationship Id="rId1" Type="http://schemas.openxmlformats.org/officeDocument/2006/relationships/hyperlink" Target="https://docs.google.com/spreadsheets/d/1Ia-eYU96M6JqB94Dp_JwNE7mICuNhosfOdHLwARHrnU/edit?gid=1364349177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docs.google.com/spreadsheets/d/1h4RQR7RIQij5nEmdvTpZiC9hOR8jeQ3UkuOoCAcBYs8/edit?gid=0" TargetMode="External"/><Relationship Id="rId3" Type="http://schemas.openxmlformats.org/officeDocument/2006/relationships/hyperlink" Target="https://docs.google.com/spreadsheets/d/1Ia-eYU96M6JqB94Dp_JwNE7mICuNhosfOdHLwARHrnU/edit?gid=1486790828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43"/>
  <sheetViews>
    <sheetView tabSelected="1" topLeftCell="A4" workbookViewId="0">
      <selection activeCell="A1" sqref="A1"/>
    </sheetView>
  </sheetViews>
  <sheetFormatPr defaultColWidth="12.6285714285714" defaultRowHeight="15.75" customHeight="1"/>
  <cols>
    <col min="1" max="1" width="25.1333333333333" customWidth="1"/>
    <col min="2" max="2" width="16" customWidth="1"/>
    <col min="3" max="4" width="21" customWidth="1"/>
    <col min="5" max="5" width="16.1333333333333" customWidth="1"/>
    <col min="6" max="6" width="19.3809523809524" customWidth="1"/>
    <col min="8" max="8" width="12.6285714285714" customWidth="1"/>
    <col min="14" max="14" width="25.3809523809524" customWidth="1"/>
  </cols>
  <sheetData>
    <row r="1" customHeight="1" spans="1:17">
      <c r="A1" s="13" t="s">
        <v>0</v>
      </c>
    </row>
    <row r="2" customHeight="1" spans="1:17">
      <c r="A2" s="5"/>
      <c r="B2" s="43" t="s">
        <v>1</v>
      </c>
      <c r="C2" s="43" t="s">
        <v>2</v>
      </c>
      <c r="D2" s="43" t="s">
        <v>3</v>
      </c>
      <c r="E2" s="43" t="s">
        <v>4</v>
      </c>
      <c r="F2" s="43" t="s">
        <v>5</v>
      </c>
      <c r="G2" s="43" t="s">
        <v>6</v>
      </c>
    </row>
    <row r="3" customHeight="1" spans="1:17">
      <c r="A3" s="5" t="s">
        <v>7</v>
      </c>
      <c r="B3" s="5">
        <v>50</v>
      </c>
      <c r="C3" s="5">
        <v>100</v>
      </c>
      <c r="D3" s="5">
        <v>500</v>
      </c>
      <c r="E3" s="5">
        <v>1500</v>
      </c>
      <c r="F3" s="5">
        <v>5000</v>
      </c>
      <c r="G3" s="5">
        <v>20000</v>
      </c>
    </row>
    <row r="4" customHeight="1" spans="1:17">
      <c r="A4" s="5" t="s">
        <v>8</v>
      </c>
      <c r="B4" s="5">
        <v>0.05</v>
      </c>
      <c r="C4" s="5">
        <v>0.1</v>
      </c>
      <c r="D4" s="5">
        <v>0.5</v>
      </c>
      <c r="E4" s="5">
        <v>2</v>
      </c>
      <c r="F4" s="5">
        <v>8</v>
      </c>
      <c r="G4" s="5">
        <v>20</v>
      </c>
    </row>
    <row r="5" customHeight="1" spans="1:17">
      <c r="A5" s="5" t="s">
        <v>9</v>
      </c>
      <c r="B5" s="5">
        <v>5</v>
      </c>
      <c r="C5" s="5">
        <v>10</v>
      </c>
      <c r="D5" s="5">
        <v>50</v>
      </c>
      <c r="E5" s="5">
        <v>200</v>
      </c>
      <c r="F5" s="5">
        <v>800</v>
      </c>
      <c r="G5" s="5" t="s">
        <v>10</v>
      </c>
    </row>
    <row r="6" customHeight="1" spans="1:17">
      <c r="A6" s="5" t="s">
        <v>11</v>
      </c>
      <c r="B6" s="5">
        <v>50</v>
      </c>
      <c r="C6" s="5">
        <v>100</v>
      </c>
      <c r="D6" s="5">
        <v>500</v>
      </c>
      <c r="E6" s="5">
        <v>2000</v>
      </c>
      <c r="F6" s="5">
        <v>8000</v>
      </c>
      <c r="G6" s="5">
        <v>20000</v>
      </c>
    </row>
    <row r="7" customHeight="1" spans="1:17">
      <c r="K7" s="1" t="s">
        <v>12</v>
      </c>
      <c r="L7" s="1" t="s">
        <v>13</v>
      </c>
    </row>
    <row r="8" customHeight="1" spans="1:17">
      <c r="B8" s="1">
        <v>9.99</v>
      </c>
      <c r="C8" s="1">
        <v>19.99</v>
      </c>
      <c r="D8" s="1">
        <v>29.99</v>
      </c>
      <c r="K8" s="13">
        <v>250</v>
      </c>
      <c r="L8" s="1">
        <v>100</v>
      </c>
    </row>
    <row r="9" customHeight="1" spans="1:17">
      <c r="K9" s="1" t="s">
        <v>14</v>
      </c>
      <c r="L9" s="1" t="s">
        <v>15</v>
      </c>
    </row>
    <row r="10" customHeight="1" spans="1:17">
      <c r="A10" s="1" t="s">
        <v>16</v>
      </c>
      <c r="K10" s="13">
        <v>1</v>
      </c>
      <c r="L10" s="13">
        <v>0.45</v>
      </c>
    </row>
    <row r="11" customHeight="1" spans="1:17">
      <c r="A11" s="4" t="s">
        <v>17</v>
      </c>
      <c r="B11" s="4" t="s">
        <v>18</v>
      </c>
      <c r="C11" s="4" t="s">
        <v>19</v>
      </c>
      <c r="D11" s="4" t="s">
        <v>1</v>
      </c>
      <c r="E11" s="4" t="s">
        <v>2</v>
      </c>
      <c r="F11" s="4" t="s">
        <v>3</v>
      </c>
      <c r="G11" s="4" t="s">
        <v>4</v>
      </c>
      <c r="H11" s="4" t="s">
        <v>5</v>
      </c>
      <c r="I11" s="4" t="s">
        <v>20</v>
      </c>
      <c r="J11" s="4" t="s">
        <v>21</v>
      </c>
      <c r="K11" s="4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  <c r="Q11" s="4" t="s">
        <v>28</v>
      </c>
    </row>
    <row r="12" customHeight="1" spans="1:17">
      <c r="A12" s="5">
        <v>1</v>
      </c>
      <c r="B12" s="5" t="s">
        <v>29</v>
      </c>
      <c r="C12" s="5">
        <v>9</v>
      </c>
      <c r="D12" s="5">
        <v>6</v>
      </c>
      <c r="E12" s="5">
        <v>3</v>
      </c>
      <c r="F12" s="5">
        <v>0</v>
      </c>
      <c r="G12" s="5"/>
      <c r="H12" s="5"/>
      <c r="I12" s="5"/>
      <c r="J12" s="5">
        <f t="shared" ref="J12:J20" si="0">D12*$B$3+E12*$C$3+F12*$D$3+G12*$E$3+H12*$F$3</f>
        <v>600</v>
      </c>
      <c r="K12" s="5">
        <v>1</v>
      </c>
      <c r="L12" s="5">
        <v>3</v>
      </c>
      <c r="M12" s="5"/>
      <c r="N12" s="5"/>
      <c r="O12" s="5">
        <f t="shared" ref="O12:O20" si="1">K12*$K$10+L12*$L$10</f>
        <v>2.35</v>
      </c>
      <c r="P12" s="5">
        <f t="shared" ref="P12:P20" si="2">K12*$K$8+L12*$L$8</f>
        <v>550</v>
      </c>
      <c r="Q12" s="6">
        <f t="shared" ref="Q12:Q20" si="3">P12/J12</f>
        <v>0.916666666666667</v>
      </c>
    </row>
    <row r="13" customHeight="1" spans="1:17">
      <c r="A13" s="5">
        <v>2</v>
      </c>
      <c r="B13" s="5" t="s">
        <v>29</v>
      </c>
      <c r="C13" s="5">
        <v>9</v>
      </c>
      <c r="D13" s="5">
        <v>5</v>
      </c>
      <c r="E13" s="5">
        <v>3</v>
      </c>
      <c r="F13" s="5">
        <v>1</v>
      </c>
      <c r="G13" s="5"/>
      <c r="H13" s="5"/>
      <c r="I13" s="5"/>
      <c r="J13" s="5">
        <f t="shared" si="0"/>
        <v>1050</v>
      </c>
      <c r="K13" s="5">
        <v>2</v>
      </c>
      <c r="L13" s="5">
        <v>3</v>
      </c>
      <c r="M13" s="5"/>
      <c r="N13" s="5"/>
      <c r="O13" s="5">
        <f t="shared" si="1"/>
        <v>3.35</v>
      </c>
      <c r="P13" s="5">
        <f t="shared" si="2"/>
        <v>800</v>
      </c>
      <c r="Q13" s="6">
        <f t="shared" si="3"/>
        <v>0.761904761904762</v>
      </c>
    </row>
    <row r="14" customHeight="1" spans="1:17">
      <c r="A14" s="5">
        <v>3</v>
      </c>
      <c r="B14" s="5" t="s">
        <v>29</v>
      </c>
      <c r="C14" s="5">
        <v>9</v>
      </c>
      <c r="D14" s="5">
        <v>4</v>
      </c>
      <c r="E14" s="5">
        <v>3</v>
      </c>
      <c r="F14" s="5">
        <v>2</v>
      </c>
      <c r="G14" s="5">
        <v>0</v>
      </c>
      <c r="H14" s="5"/>
      <c r="I14" s="5"/>
      <c r="J14" s="5">
        <f t="shared" si="0"/>
        <v>1500</v>
      </c>
      <c r="K14" s="5">
        <v>3</v>
      </c>
      <c r="L14" s="5">
        <v>5</v>
      </c>
      <c r="M14" s="5"/>
      <c r="N14" s="5"/>
      <c r="O14" s="5">
        <f t="shared" si="1"/>
        <v>5.25</v>
      </c>
      <c r="P14" s="5">
        <f t="shared" si="2"/>
        <v>1250</v>
      </c>
      <c r="Q14" s="6">
        <f t="shared" si="3"/>
        <v>0.833333333333333</v>
      </c>
    </row>
    <row r="15" customHeight="1" spans="1:17">
      <c r="A15" s="5">
        <v>4</v>
      </c>
      <c r="B15" s="5" t="s">
        <v>30</v>
      </c>
      <c r="C15" s="5">
        <v>9</v>
      </c>
      <c r="D15" s="5">
        <v>3</v>
      </c>
      <c r="E15" s="5">
        <v>3</v>
      </c>
      <c r="F15" s="5">
        <v>2</v>
      </c>
      <c r="G15" s="5">
        <v>1</v>
      </c>
      <c r="H15" s="5"/>
      <c r="I15" s="5"/>
      <c r="J15" s="5">
        <f t="shared" si="0"/>
        <v>2950</v>
      </c>
      <c r="K15" s="5">
        <v>3</v>
      </c>
      <c r="L15" s="5">
        <v>5</v>
      </c>
      <c r="M15" s="5" t="s">
        <v>31</v>
      </c>
      <c r="N15" s="5"/>
      <c r="O15" s="5">
        <f t="shared" si="1"/>
        <v>5.25</v>
      </c>
      <c r="P15" s="5">
        <f t="shared" si="2"/>
        <v>1250</v>
      </c>
      <c r="Q15" s="6">
        <f t="shared" si="3"/>
        <v>0.423728813559322</v>
      </c>
    </row>
    <row r="16" customHeight="1" spans="1:17">
      <c r="A16" s="5">
        <v>5</v>
      </c>
      <c r="B16" s="5" t="s">
        <v>32</v>
      </c>
      <c r="C16" s="5">
        <v>9</v>
      </c>
      <c r="D16" s="5">
        <v>2</v>
      </c>
      <c r="E16" s="5">
        <v>3</v>
      </c>
      <c r="F16" s="5">
        <v>2</v>
      </c>
      <c r="G16" s="5">
        <v>2</v>
      </c>
      <c r="H16" s="5"/>
      <c r="I16" s="5"/>
      <c r="J16" s="5">
        <f t="shared" si="0"/>
        <v>4400</v>
      </c>
      <c r="K16" s="5">
        <v>3</v>
      </c>
      <c r="L16" s="5">
        <v>8</v>
      </c>
      <c r="M16" s="5"/>
      <c r="N16" s="5"/>
      <c r="O16" s="5">
        <f t="shared" si="1"/>
        <v>6.6</v>
      </c>
      <c r="P16" s="5">
        <f t="shared" si="2"/>
        <v>1550</v>
      </c>
      <c r="Q16" s="6">
        <f t="shared" si="3"/>
        <v>0.352272727272727</v>
      </c>
    </row>
    <row r="17" customHeight="1" spans="1:26">
      <c r="A17" s="5">
        <v>6</v>
      </c>
      <c r="B17" s="5" t="s">
        <v>33</v>
      </c>
      <c r="C17" s="5">
        <v>9</v>
      </c>
      <c r="D17" s="5"/>
      <c r="E17" s="5">
        <v>3</v>
      </c>
      <c r="F17" s="5">
        <v>3</v>
      </c>
      <c r="G17" s="5">
        <v>2</v>
      </c>
      <c r="H17" s="5">
        <v>1</v>
      </c>
      <c r="I17" s="5"/>
      <c r="J17" s="5">
        <f t="shared" si="0"/>
        <v>9800</v>
      </c>
      <c r="K17" s="5">
        <v>5</v>
      </c>
      <c r="L17" s="5">
        <v>8</v>
      </c>
      <c r="M17" s="5"/>
      <c r="N17" s="5"/>
      <c r="O17" s="5">
        <f t="shared" si="1"/>
        <v>8.6</v>
      </c>
      <c r="P17" s="5">
        <f t="shared" si="2"/>
        <v>2050</v>
      </c>
      <c r="Q17" s="6">
        <f t="shared" si="3"/>
        <v>0.209183673469388</v>
      </c>
    </row>
    <row r="18" customHeight="1" spans="1:26">
      <c r="A18" s="5">
        <v>7</v>
      </c>
      <c r="B18" s="5" t="s">
        <v>34</v>
      </c>
      <c r="C18" s="5">
        <v>9</v>
      </c>
      <c r="D18" s="5"/>
      <c r="E18" s="5">
        <v>2</v>
      </c>
      <c r="F18" s="5">
        <v>1</v>
      </c>
      <c r="G18" s="5">
        <v>4</v>
      </c>
      <c r="H18" s="5">
        <v>2</v>
      </c>
      <c r="I18" s="5">
        <v>1</v>
      </c>
      <c r="J18" s="5">
        <f t="shared" si="0"/>
        <v>16700</v>
      </c>
      <c r="K18" s="5">
        <v>7</v>
      </c>
      <c r="L18" s="5">
        <v>10</v>
      </c>
      <c r="M18" s="5" t="s">
        <v>35</v>
      </c>
      <c r="N18" s="5"/>
      <c r="O18" s="5">
        <f t="shared" si="1"/>
        <v>11.5</v>
      </c>
      <c r="P18" s="5">
        <f t="shared" si="2"/>
        <v>2750</v>
      </c>
      <c r="Q18" s="6">
        <f t="shared" si="3"/>
        <v>0.164670658682635</v>
      </c>
    </row>
    <row r="19" customHeight="1" spans="1:26">
      <c r="A19" s="5">
        <v>8</v>
      </c>
      <c r="B19" s="5" t="s">
        <v>36</v>
      </c>
      <c r="C19" s="5">
        <v>9</v>
      </c>
      <c r="D19" s="5"/>
      <c r="E19" s="5"/>
      <c r="F19" s="5">
        <v>2</v>
      </c>
      <c r="G19" s="5">
        <v>4</v>
      </c>
      <c r="H19" s="5">
        <v>3</v>
      </c>
      <c r="I19" s="5">
        <v>2</v>
      </c>
      <c r="J19" s="5">
        <f t="shared" si="0"/>
        <v>22000</v>
      </c>
      <c r="K19" s="5">
        <v>10</v>
      </c>
      <c r="L19" s="5">
        <v>10</v>
      </c>
      <c r="M19" s="5"/>
      <c r="N19" s="5"/>
      <c r="O19" s="5">
        <f t="shared" si="1"/>
        <v>14.5</v>
      </c>
      <c r="P19" s="5">
        <f t="shared" si="2"/>
        <v>3500</v>
      </c>
      <c r="Q19" s="6">
        <f t="shared" si="3"/>
        <v>0.159090909090909</v>
      </c>
    </row>
    <row r="20" customHeight="1" spans="1:26">
      <c r="A20" s="5" t="s">
        <v>37</v>
      </c>
      <c r="B20" s="5"/>
      <c r="C20" s="5">
        <f t="shared" ref="C20:H20" si="4">SUM(C12:C19)</f>
        <v>72</v>
      </c>
      <c r="D20" s="5">
        <f t="shared" si="4"/>
        <v>20</v>
      </c>
      <c r="E20" s="5">
        <f t="shared" si="4"/>
        <v>20</v>
      </c>
      <c r="F20" s="5">
        <f t="shared" si="4"/>
        <v>13</v>
      </c>
      <c r="G20" s="5">
        <f t="shared" si="4"/>
        <v>13</v>
      </c>
      <c r="H20" s="5">
        <f t="shared" si="4"/>
        <v>6</v>
      </c>
      <c r="I20" s="5"/>
      <c r="J20" s="5">
        <f t="shared" si="0"/>
        <v>59000</v>
      </c>
      <c r="K20" s="5">
        <v>30</v>
      </c>
      <c r="L20" s="5"/>
      <c r="M20" s="5" t="s">
        <v>38</v>
      </c>
      <c r="N20" s="5" t="s">
        <v>39</v>
      </c>
      <c r="O20" s="5">
        <f t="shared" si="1"/>
        <v>30</v>
      </c>
      <c r="P20" s="5">
        <f t="shared" si="2"/>
        <v>7500</v>
      </c>
      <c r="Q20" s="6">
        <f t="shared" si="3"/>
        <v>0.127118644067797</v>
      </c>
    </row>
    <row r="21" customHeight="1" spans="1:26">
      <c r="A21" s="13" t="s">
        <v>40</v>
      </c>
      <c r="B21" s="13"/>
      <c r="I21" s="13"/>
      <c r="N21" s="13" t="s">
        <v>41</v>
      </c>
      <c r="O21" s="13">
        <f>SUM(O12:O20)</f>
        <v>87.4</v>
      </c>
    </row>
    <row r="23" customHeight="1" spans="1:26">
      <c r="A23" s="3" t="s">
        <v>42</v>
      </c>
    </row>
    <row r="24" customHeight="1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13" t="s">
        <v>43</v>
      </c>
      <c r="B25" s="5" t="s">
        <v>44</v>
      </c>
      <c r="C25" s="5" t="s">
        <v>45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13"/>
      <c r="B26" s="4" t="s">
        <v>46</v>
      </c>
      <c r="C26" s="44" t="s">
        <v>47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13"/>
      <c r="B27" s="4" t="s">
        <v>48</v>
      </c>
      <c r="C27" s="44" t="s">
        <v>49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13"/>
      <c r="B28" s="4" t="s">
        <v>50</v>
      </c>
      <c r="C28" s="5" t="s">
        <v>51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13"/>
      <c r="B29" s="4" t="s">
        <v>52</v>
      </c>
      <c r="C29" s="5" t="s">
        <v>51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13"/>
      <c r="B30" s="4" t="s">
        <v>53</v>
      </c>
      <c r="C30" s="5" t="s">
        <v>51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13"/>
      <c r="B31" s="4" t="s">
        <v>54</v>
      </c>
      <c r="C31" s="5" t="s">
        <v>51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13"/>
      <c r="B32" s="4" t="s">
        <v>55</v>
      </c>
      <c r="C32" s="5" t="s">
        <v>51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13"/>
      <c r="B33" s="4" t="s">
        <v>56</v>
      </c>
      <c r="C33" s="5" t="s">
        <v>51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13"/>
      <c r="B34" s="4" t="s">
        <v>36</v>
      </c>
      <c r="C34" s="5" t="s">
        <v>51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13"/>
      <c r="B35" s="4" t="s">
        <v>57</v>
      </c>
      <c r="C35" s="5" t="s">
        <v>51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13"/>
      <c r="B36" s="4" t="s">
        <v>58</v>
      </c>
      <c r="C36" s="5" t="s">
        <v>51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4" t="s">
        <v>59</v>
      </c>
      <c r="B39" s="4" t="s">
        <v>60</v>
      </c>
      <c r="C39" s="4" t="s">
        <v>61</v>
      </c>
      <c r="D39" s="4" t="s">
        <v>48</v>
      </c>
      <c r="E39" s="4" t="s">
        <v>62</v>
      </c>
      <c r="F39" s="4" t="s">
        <v>63</v>
      </c>
      <c r="G39" s="4" t="s">
        <v>53</v>
      </c>
      <c r="H39" s="4" t="s">
        <v>54</v>
      </c>
      <c r="I39" s="4" t="s">
        <v>55</v>
      </c>
      <c r="J39" s="4" t="s">
        <v>56</v>
      </c>
      <c r="K39" s="4" t="s">
        <v>36</v>
      </c>
      <c r="L39" s="4" t="s">
        <v>57</v>
      </c>
      <c r="M39" s="4" t="s">
        <v>58</v>
      </c>
      <c r="N39" s="4" t="s">
        <v>64</v>
      </c>
      <c r="O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17" t="s">
        <v>65</v>
      </c>
      <c r="B40" s="17">
        <v>105</v>
      </c>
      <c r="C40" s="5">
        <f t="shared" ref="C40:C49" si="5">SUM(D40:M40)</f>
        <v>117</v>
      </c>
      <c r="D40" s="17">
        <v>11</v>
      </c>
      <c r="E40" s="17">
        <v>15</v>
      </c>
      <c r="F40" s="17">
        <v>15</v>
      </c>
      <c r="G40" s="5">
        <v>15</v>
      </c>
      <c r="H40" s="5">
        <v>20</v>
      </c>
      <c r="I40" s="5">
        <v>27</v>
      </c>
      <c r="J40" s="5"/>
      <c r="K40" s="5"/>
      <c r="L40" s="5"/>
      <c r="M40" s="5">
        <v>14</v>
      </c>
      <c r="N40" s="2">
        <v>111110002</v>
      </c>
      <c r="O40" s="2" t="s">
        <v>66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17" t="s">
        <v>67</v>
      </c>
      <c r="B41" s="17">
        <v>80</v>
      </c>
      <c r="C41" s="5">
        <f t="shared" si="5"/>
        <v>75</v>
      </c>
      <c r="D41" s="17">
        <v>16</v>
      </c>
      <c r="E41" s="17">
        <v>5</v>
      </c>
      <c r="F41" s="17">
        <v>5</v>
      </c>
      <c r="G41" s="5">
        <v>5</v>
      </c>
      <c r="H41" s="5">
        <v>8</v>
      </c>
      <c r="I41" s="5" t="s">
        <v>68</v>
      </c>
      <c r="J41" s="5">
        <v>10</v>
      </c>
      <c r="K41" s="5">
        <v>10</v>
      </c>
      <c r="L41" s="5">
        <v>10</v>
      </c>
      <c r="M41" s="5">
        <v>6</v>
      </c>
      <c r="N41" s="2">
        <v>111110003</v>
      </c>
      <c r="O41" s="2" t="s">
        <v>69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17" t="s">
        <v>70</v>
      </c>
      <c r="B42" s="17">
        <v>30</v>
      </c>
      <c r="C42" s="5">
        <f t="shared" si="5"/>
        <v>27</v>
      </c>
      <c r="D42" s="17">
        <v>9</v>
      </c>
      <c r="E42" s="17">
        <v>2</v>
      </c>
      <c r="F42" s="17">
        <v>2</v>
      </c>
      <c r="G42" s="5">
        <v>2</v>
      </c>
      <c r="H42" s="5">
        <v>3</v>
      </c>
      <c r="I42" s="5" t="s">
        <v>71</v>
      </c>
      <c r="J42" s="5">
        <v>2</v>
      </c>
      <c r="K42" s="5">
        <v>2</v>
      </c>
      <c r="L42" s="5">
        <v>2</v>
      </c>
      <c r="M42" s="5">
        <v>3</v>
      </c>
      <c r="N42" s="2">
        <v>111110004</v>
      </c>
      <c r="O42" s="2" t="s">
        <v>72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17" t="s">
        <v>73</v>
      </c>
      <c r="B43" s="17">
        <v>10</v>
      </c>
      <c r="C43" s="5">
        <f t="shared" si="5"/>
        <v>9</v>
      </c>
      <c r="D43" s="17">
        <v>2</v>
      </c>
      <c r="E43" s="17"/>
      <c r="F43" s="17"/>
      <c r="G43" s="5">
        <v>1</v>
      </c>
      <c r="H43" s="5">
        <v>2</v>
      </c>
      <c r="I43" s="5" t="s">
        <v>74</v>
      </c>
      <c r="J43" s="5">
        <v>1</v>
      </c>
      <c r="K43" s="5">
        <v>1</v>
      </c>
      <c r="L43" s="5">
        <v>1</v>
      </c>
      <c r="M43" s="5">
        <v>1</v>
      </c>
      <c r="N43" s="2">
        <v>111110005</v>
      </c>
      <c r="O43" s="2" t="s">
        <v>75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17" t="s">
        <v>76</v>
      </c>
      <c r="B44" s="17">
        <v>5</v>
      </c>
      <c r="C44" s="5">
        <f t="shared" si="5"/>
        <v>5</v>
      </c>
      <c r="D44" s="5">
        <v>1</v>
      </c>
      <c r="E44" s="5"/>
      <c r="F44" s="5"/>
      <c r="G44" s="5"/>
      <c r="H44" s="5">
        <v>1</v>
      </c>
      <c r="I44" s="5"/>
      <c r="J44" s="5">
        <v>1</v>
      </c>
      <c r="K44" s="5">
        <v>1</v>
      </c>
      <c r="L44" s="5">
        <v>1</v>
      </c>
      <c r="M44" s="5"/>
      <c r="N44" s="2">
        <v>111110006</v>
      </c>
      <c r="O44" s="2" t="s">
        <v>77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17" t="s">
        <v>78</v>
      </c>
      <c r="B45" s="17">
        <v>2</v>
      </c>
      <c r="C45" s="5">
        <f t="shared" si="5"/>
        <v>2</v>
      </c>
      <c r="D45" s="5"/>
      <c r="E45" s="5"/>
      <c r="F45" s="5"/>
      <c r="G45" s="5"/>
      <c r="H45" s="5"/>
      <c r="I45" s="5"/>
      <c r="J45" s="5"/>
      <c r="K45" s="5"/>
      <c r="L45" s="5">
        <v>2</v>
      </c>
      <c r="M45" s="5"/>
      <c r="N45" s="1">
        <v>11119996</v>
      </c>
      <c r="O45" s="1" t="s">
        <v>79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17" t="s">
        <v>80</v>
      </c>
      <c r="B46" s="40"/>
      <c r="C46" s="5">
        <f t="shared" si="5"/>
        <v>0</v>
      </c>
      <c r="D46" s="40"/>
      <c r="E46" s="40"/>
      <c r="F46" s="40"/>
      <c r="G46" s="40"/>
      <c r="H46" s="40"/>
      <c r="I46" s="5" t="s">
        <v>74</v>
      </c>
      <c r="J46" s="40"/>
      <c r="K46" s="26"/>
      <c r="L46" s="40"/>
      <c r="M46" s="40"/>
      <c r="N46" s="1">
        <v>11119997</v>
      </c>
      <c r="O46" s="1" t="s">
        <v>81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17" t="s">
        <v>82</v>
      </c>
      <c r="B47" s="40"/>
      <c r="C47" s="5">
        <f t="shared" si="5"/>
        <v>2</v>
      </c>
      <c r="D47" s="40"/>
      <c r="E47" s="40"/>
      <c r="F47" s="40"/>
      <c r="G47" s="40"/>
      <c r="H47" s="40"/>
      <c r="I47" s="40"/>
      <c r="J47" s="5">
        <v>2</v>
      </c>
      <c r="K47" s="26"/>
      <c r="L47" s="40"/>
      <c r="M47" s="40"/>
      <c r="N47" s="1">
        <v>11119998</v>
      </c>
      <c r="O47" s="1" t="s">
        <v>83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17" t="s">
        <v>84</v>
      </c>
      <c r="B48" s="40"/>
      <c r="C48" s="5">
        <f t="shared" si="5"/>
        <v>2</v>
      </c>
      <c r="D48" s="40"/>
      <c r="E48" s="40"/>
      <c r="F48" s="40"/>
      <c r="G48" s="40"/>
      <c r="H48" s="40"/>
      <c r="I48" s="40"/>
      <c r="J48" s="40"/>
      <c r="K48" s="5">
        <v>2</v>
      </c>
      <c r="L48" s="40"/>
      <c r="M48" s="40"/>
      <c r="N48" s="1">
        <v>11119999</v>
      </c>
      <c r="O48" s="1" t="s">
        <v>85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17" t="s">
        <v>86</v>
      </c>
      <c r="B49" s="40"/>
      <c r="C49" s="5">
        <f t="shared" si="5"/>
        <v>2</v>
      </c>
      <c r="D49" s="40"/>
      <c r="E49" s="40"/>
      <c r="F49" s="40"/>
      <c r="G49" s="40"/>
      <c r="H49" s="5">
        <v>2</v>
      </c>
      <c r="I49" s="40"/>
      <c r="J49" s="40"/>
      <c r="K49" s="26"/>
      <c r="L49" s="40"/>
      <c r="M49" s="40"/>
      <c r="N49" s="1">
        <v>111110000</v>
      </c>
      <c r="O49" s="1" t="s">
        <v>87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1" customHeight="1" spans="1:26">
      <c r="A51" s="1" t="s">
        <v>88</v>
      </c>
    </row>
    <row r="52" customHeight="1" spans="1:26">
      <c r="A52" s="1"/>
      <c r="B52" s="1"/>
      <c r="C52" s="1"/>
      <c r="D52" s="1"/>
      <c r="E52" s="1"/>
      <c r="F52" s="1"/>
      <c r="G52" s="1"/>
      <c r="H52" s="1"/>
    </row>
    <row r="53" customHeight="1" spans="1:26">
      <c r="A53" s="3" t="s">
        <v>89</v>
      </c>
    </row>
    <row r="54" customHeight="1" spans="1:26">
      <c r="A54" s="4"/>
      <c r="B54" s="4" t="s">
        <v>90</v>
      </c>
      <c r="C54" s="4" t="s">
        <v>91</v>
      </c>
      <c r="D54" s="4" t="s">
        <v>92</v>
      </c>
      <c r="E54" s="4" t="s">
        <v>93</v>
      </c>
      <c r="F54" s="4" t="s">
        <v>94</v>
      </c>
      <c r="G54" s="4" t="s">
        <v>95</v>
      </c>
      <c r="H54" s="4" t="s">
        <v>96</v>
      </c>
    </row>
    <row r="55" customHeight="1" spans="1:26">
      <c r="A55" s="5" t="s">
        <v>65</v>
      </c>
      <c r="B55" s="5">
        <v>1</v>
      </c>
      <c r="C55" s="5" t="s">
        <v>10</v>
      </c>
      <c r="D55" s="6">
        <v>0.9</v>
      </c>
      <c r="E55" s="6">
        <v>0.085</v>
      </c>
      <c r="F55" s="6">
        <v>0.01</v>
      </c>
      <c r="G55" s="6">
        <v>0.0049</v>
      </c>
      <c r="H55" s="6">
        <v>0.0001</v>
      </c>
    </row>
    <row r="56" customHeight="1" spans="1:26">
      <c r="A56" s="5" t="s">
        <v>67</v>
      </c>
      <c r="B56" s="5">
        <v>1</v>
      </c>
      <c r="C56" s="5" t="s">
        <v>97</v>
      </c>
      <c r="D56" s="6" t="s">
        <v>10</v>
      </c>
      <c r="E56" s="6">
        <v>0.84</v>
      </c>
      <c r="F56" s="6">
        <v>0.14</v>
      </c>
      <c r="G56" s="6">
        <v>0.0198</v>
      </c>
      <c r="H56" s="6">
        <v>0.0002</v>
      </c>
    </row>
    <row r="57" customHeight="1" spans="1:26">
      <c r="A57" s="5" t="s">
        <v>70</v>
      </c>
      <c r="B57" s="5">
        <v>2</v>
      </c>
      <c r="C57" s="5" t="s">
        <v>98</v>
      </c>
      <c r="D57" s="6">
        <f>$D$55/2</f>
        <v>0.45</v>
      </c>
      <c r="E57" s="6">
        <f>$E$55/2</f>
        <v>0.0425</v>
      </c>
      <c r="F57" s="6">
        <f>($F$55+F71)/2</f>
        <v>0.4425</v>
      </c>
      <c r="G57" s="6">
        <f>($G$55+G71)/2</f>
        <v>0.0637</v>
      </c>
      <c r="H57" s="6">
        <f>($H$55+H71)/2</f>
        <v>0.0013</v>
      </c>
    </row>
    <row r="58" customHeight="1" spans="1:26">
      <c r="A58" s="5" t="s">
        <v>73</v>
      </c>
      <c r="B58" s="5">
        <v>3</v>
      </c>
      <c r="C58" s="5" t="s">
        <v>99</v>
      </c>
      <c r="D58" s="6">
        <f t="shared" ref="D58:D59" si="6">$D$55*2/3</f>
        <v>0.6</v>
      </c>
      <c r="E58" s="6">
        <f t="shared" ref="E58:E59" si="7">$E$55*2/3</f>
        <v>0.0566666666666667</v>
      </c>
      <c r="F58" s="6">
        <f t="shared" ref="F58:F59" si="8">($F$55)*2/3</f>
        <v>0.00666666666666667</v>
      </c>
      <c r="G58" s="6">
        <f>($G$55*2+G72)/3</f>
        <v>0.294933333333333</v>
      </c>
      <c r="H58" s="6">
        <f>($H$55*2+H72)/3</f>
        <v>0.0417333333333333</v>
      </c>
    </row>
    <row r="59" customHeight="1" spans="1:26">
      <c r="A59" s="5" t="s">
        <v>100</v>
      </c>
      <c r="B59" s="5">
        <v>3</v>
      </c>
      <c r="C59" s="5" t="s">
        <v>101</v>
      </c>
      <c r="D59" s="6">
        <f t="shared" si="6"/>
        <v>0.6</v>
      </c>
      <c r="E59" s="6">
        <f t="shared" si="7"/>
        <v>0.0566666666666667</v>
      </c>
      <c r="F59" s="6">
        <f t="shared" si="8"/>
        <v>0.00666666666666667</v>
      </c>
      <c r="G59" s="6">
        <f>($G$55)*2/3</f>
        <v>0.00326666666666667</v>
      </c>
      <c r="H59" s="6">
        <f>($H$55+H73)/3</f>
        <v>0.333366666666667</v>
      </c>
    </row>
    <row r="60" customHeight="1" spans="1:26">
      <c r="A60" s="5" t="s">
        <v>102</v>
      </c>
      <c r="B60" s="5">
        <v>2</v>
      </c>
      <c r="C60" s="5" t="s">
        <v>103</v>
      </c>
      <c r="D60" s="6" t="s">
        <v>10</v>
      </c>
      <c r="E60" s="6" t="s">
        <v>10</v>
      </c>
      <c r="F60" s="7">
        <v>0.8</v>
      </c>
      <c r="G60" s="7">
        <v>0.18</v>
      </c>
      <c r="H60" s="6">
        <v>0.02</v>
      </c>
    </row>
    <row r="61" customHeight="1" spans="1:26">
      <c r="A61" s="13"/>
      <c r="B61" s="13"/>
      <c r="C61" s="13"/>
      <c r="D61" s="13"/>
      <c r="E61" s="13"/>
      <c r="F61" s="13"/>
      <c r="G61" s="13"/>
      <c r="H61" s="13"/>
    </row>
    <row r="62" customHeight="1" spans="1:26">
      <c r="A62" s="13"/>
      <c r="B62" s="13"/>
      <c r="C62" s="13"/>
      <c r="D62" s="13"/>
      <c r="E62" s="13"/>
      <c r="F62" s="13"/>
      <c r="G62" s="13"/>
      <c r="H62" s="13"/>
    </row>
    <row r="63" customHeight="1" spans="1:26">
      <c r="A63" s="13"/>
      <c r="B63" s="13"/>
      <c r="C63" s="13"/>
      <c r="D63" s="13"/>
      <c r="E63" s="13"/>
      <c r="F63" s="13"/>
      <c r="G63" s="13"/>
      <c r="H63" s="13"/>
    </row>
    <row r="64" customHeight="1" spans="1:26">
      <c r="A64" s="13"/>
      <c r="B64" s="13"/>
      <c r="C64" s="13"/>
      <c r="D64" s="13"/>
      <c r="E64" s="13"/>
      <c r="F64" s="13"/>
      <c r="G64" s="13"/>
      <c r="H64" s="13"/>
    </row>
    <row r="65" customHeight="1" spans="1:15">
      <c r="A65" s="13"/>
      <c r="B65" s="13"/>
      <c r="C65" s="13"/>
      <c r="D65" s="13"/>
      <c r="E65" s="13"/>
      <c r="F65" s="13"/>
      <c r="G65" s="13"/>
      <c r="H65" s="13"/>
    </row>
    <row r="66" customHeight="1" spans="1:15">
      <c r="A66" s="1" t="s">
        <v>104</v>
      </c>
    </row>
    <row r="67" customHeight="1" spans="1:15">
      <c r="A67" s="3" t="s">
        <v>105</v>
      </c>
    </row>
    <row r="68" customHeight="1" spans="1:15">
      <c r="A68" s="4"/>
      <c r="B68" s="4" t="s">
        <v>90</v>
      </c>
      <c r="C68" s="4" t="s">
        <v>91</v>
      </c>
      <c r="D68" s="4" t="s">
        <v>92</v>
      </c>
      <c r="E68" s="4" t="s">
        <v>93</v>
      </c>
      <c r="F68" s="4" t="s">
        <v>94</v>
      </c>
      <c r="G68" s="4" t="s">
        <v>95</v>
      </c>
      <c r="H68" s="4" t="s">
        <v>96</v>
      </c>
    </row>
    <row r="69" customHeight="1" spans="1:15">
      <c r="A69" s="5" t="s">
        <v>65</v>
      </c>
      <c r="B69" s="5">
        <v>1</v>
      </c>
      <c r="C69" s="5" t="s">
        <v>10</v>
      </c>
      <c r="D69" s="6">
        <v>0.9</v>
      </c>
      <c r="E69" s="6">
        <v>0.08</v>
      </c>
      <c r="F69" s="6">
        <v>0.01</v>
      </c>
      <c r="G69" s="6">
        <v>0.0049</v>
      </c>
      <c r="H69" s="6">
        <v>0.0001</v>
      </c>
    </row>
    <row r="70" customHeight="1" spans="1:15">
      <c r="A70" s="5" t="s">
        <v>67</v>
      </c>
      <c r="B70" s="5">
        <v>1</v>
      </c>
      <c r="C70" s="5" t="s">
        <v>97</v>
      </c>
      <c r="D70" s="5" t="s">
        <v>10</v>
      </c>
      <c r="E70" s="6">
        <v>0.84</v>
      </c>
      <c r="F70" s="6">
        <v>0.14</v>
      </c>
      <c r="G70" s="6">
        <v>0.0198</v>
      </c>
      <c r="H70" s="6">
        <v>0.0002</v>
      </c>
    </row>
    <row r="71" customHeight="1" spans="1:15">
      <c r="A71" s="5" t="s">
        <v>70</v>
      </c>
      <c r="B71" s="5">
        <v>2</v>
      </c>
      <c r="C71" s="5" t="s">
        <v>98</v>
      </c>
      <c r="D71" s="5" t="s">
        <v>10</v>
      </c>
      <c r="E71" s="5" t="s">
        <v>10</v>
      </c>
      <c r="F71" s="6">
        <v>0.875</v>
      </c>
      <c r="G71" s="6">
        <v>0.1225</v>
      </c>
      <c r="H71" s="6">
        <v>0.0025</v>
      </c>
    </row>
    <row r="72" customHeight="1" spans="1:15">
      <c r="A72" s="5" t="s">
        <v>73</v>
      </c>
      <c r="B72" s="5">
        <v>3</v>
      </c>
      <c r="C72" s="5" t="s">
        <v>99</v>
      </c>
      <c r="D72" s="5" t="s">
        <v>10</v>
      </c>
      <c r="E72" s="5" t="s">
        <v>10</v>
      </c>
      <c r="F72" s="5" t="s">
        <v>10</v>
      </c>
      <c r="G72" s="6">
        <v>0.875</v>
      </c>
      <c r="H72" s="6">
        <v>0.125</v>
      </c>
    </row>
    <row r="73" customHeight="1" spans="1:15">
      <c r="A73" s="5" t="s">
        <v>100</v>
      </c>
      <c r="B73" s="5">
        <v>3</v>
      </c>
      <c r="C73" s="5" t="s">
        <v>101</v>
      </c>
      <c r="D73" s="5" t="s">
        <v>10</v>
      </c>
      <c r="E73" s="5" t="s">
        <v>10</v>
      </c>
      <c r="F73" s="5" t="s">
        <v>10</v>
      </c>
      <c r="G73" s="5" t="s">
        <v>10</v>
      </c>
      <c r="H73" s="45">
        <v>1</v>
      </c>
    </row>
    <row r="74" customHeight="1" spans="1:15">
      <c r="A74" s="5" t="s">
        <v>102</v>
      </c>
      <c r="B74" s="5">
        <v>2</v>
      </c>
      <c r="C74" s="5" t="s">
        <v>103</v>
      </c>
      <c r="D74" s="5" t="s">
        <v>10</v>
      </c>
      <c r="E74" s="5" t="s">
        <v>10</v>
      </c>
      <c r="F74" s="6">
        <v>0.8</v>
      </c>
      <c r="G74" s="6">
        <v>0.18</v>
      </c>
      <c r="H74" s="6">
        <v>0.02</v>
      </c>
    </row>
    <row r="75" customHeight="1" spans="1:15">
      <c r="A75" s="5" t="s">
        <v>106</v>
      </c>
      <c r="B75" s="5">
        <v>1</v>
      </c>
      <c r="C75" s="5" t="s">
        <v>107</v>
      </c>
      <c r="D75" s="5" t="s">
        <v>10</v>
      </c>
      <c r="E75" s="5" t="s">
        <v>10</v>
      </c>
      <c r="F75" s="5" t="s">
        <v>10</v>
      </c>
      <c r="G75" s="5" t="s">
        <v>10</v>
      </c>
      <c r="H75" s="5" t="s">
        <v>10</v>
      </c>
    </row>
    <row r="76" customHeight="1" spans="1:15">
      <c r="A76" s="5" t="s">
        <v>108</v>
      </c>
      <c r="B76" s="5">
        <v>1</v>
      </c>
      <c r="C76" s="5" t="s">
        <v>10</v>
      </c>
      <c r="D76" s="5" t="s">
        <v>10</v>
      </c>
      <c r="E76" s="5" t="s">
        <v>10</v>
      </c>
      <c r="F76" s="5" t="s">
        <v>10</v>
      </c>
      <c r="G76" s="5" t="s">
        <v>10</v>
      </c>
      <c r="H76" s="5" t="s">
        <v>10</v>
      </c>
      <c r="K76" s="46"/>
      <c r="L76" s="46"/>
      <c r="M76" s="46"/>
      <c r="N76" s="46"/>
      <c r="O76" s="46"/>
    </row>
    <row r="77" customHeight="1" spans="1:15">
      <c r="A77" s="5" t="s">
        <v>106</v>
      </c>
      <c r="B77" s="5">
        <v>1</v>
      </c>
      <c r="C77" s="5" t="s">
        <v>10</v>
      </c>
      <c r="D77" s="5" t="s">
        <v>10</v>
      </c>
      <c r="E77" s="5" t="s">
        <v>10</v>
      </c>
      <c r="F77" s="5" t="s">
        <v>10</v>
      </c>
      <c r="G77" s="5" t="s">
        <v>10</v>
      </c>
      <c r="H77" s="5" t="s">
        <v>10</v>
      </c>
    </row>
    <row r="79" customHeight="1" spans="1:15">
      <c r="A79" s="1" t="s">
        <v>109</v>
      </c>
    </row>
    <row r="81" customHeight="1" spans="1:14">
      <c r="A81" s="3" t="s">
        <v>110</v>
      </c>
    </row>
    <row r="82" customHeight="1" spans="1:14">
      <c r="A82" s="4"/>
      <c r="B82" s="4" t="s">
        <v>90</v>
      </c>
      <c r="C82" s="4" t="s">
        <v>91</v>
      </c>
      <c r="D82" s="4" t="s">
        <v>111</v>
      </c>
      <c r="E82" s="4" t="s">
        <v>112</v>
      </c>
      <c r="F82" s="4" t="s">
        <v>113</v>
      </c>
      <c r="G82" s="4" t="s">
        <v>114</v>
      </c>
      <c r="H82" s="4" t="s">
        <v>115</v>
      </c>
      <c r="I82" s="4" t="s">
        <v>116</v>
      </c>
      <c r="J82" s="4" t="s">
        <v>117</v>
      </c>
      <c r="K82" s="4" t="s">
        <v>118</v>
      </c>
    </row>
    <row r="83" customHeight="1" spans="1:14">
      <c r="A83" s="5" t="s">
        <v>65</v>
      </c>
      <c r="B83" s="5">
        <v>1</v>
      </c>
      <c r="C83" s="5" t="s">
        <v>10</v>
      </c>
      <c r="D83" s="5">
        <v>0.9</v>
      </c>
      <c r="E83" s="5">
        <v>0.085</v>
      </c>
      <c r="F83" s="5">
        <v>0.01</v>
      </c>
      <c r="G83" s="5">
        <v>0.0049</v>
      </c>
      <c r="H83" s="5">
        <v>0.0001</v>
      </c>
      <c r="I83" s="5">
        <f>5*21</f>
        <v>105</v>
      </c>
      <c r="J83" s="5">
        <f t="shared" ref="J83:J88" si="9">D83*$B$4+E83*$C$4+F83*$D$4+G83*$E$4+H83*$F$4</f>
        <v>0.0691</v>
      </c>
      <c r="K83" s="5" t="s">
        <v>119</v>
      </c>
    </row>
    <row r="84" customHeight="1" spans="1:14">
      <c r="A84" s="5" t="s">
        <v>67</v>
      </c>
      <c r="B84" s="5">
        <v>1</v>
      </c>
      <c r="C84" s="5" t="s">
        <v>97</v>
      </c>
      <c r="D84" s="5"/>
      <c r="E84" s="5">
        <v>0.84</v>
      </c>
      <c r="F84" s="5">
        <v>0.14</v>
      </c>
      <c r="G84" s="5">
        <v>0.0198</v>
      </c>
      <c r="H84" s="5">
        <v>0.0002</v>
      </c>
      <c r="I84" s="5">
        <v>80</v>
      </c>
      <c r="J84" s="5">
        <f t="shared" si="9"/>
        <v>0.1952</v>
      </c>
      <c r="K84" s="5"/>
    </row>
    <row r="85" customHeight="1" spans="1:14">
      <c r="A85" s="5" t="s">
        <v>70</v>
      </c>
      <c r="B85" s="5">
        <v>2</v>
      </c>
      <c r="C85" s="5" t="s">
        <v>98</v>
      </c>
      <c r="D85" s="5">
        <f t="shared" ref="D85:H85" si="10">D57*$B$85</f>
        <v>0.9</v>
      </c>
      <c r="E85" s="5">
        <f t="shared" si="10"/>
        <v>0.085</v>
      </c>
      <c r="F85" s="5">
        <f t="shared" si="10"/>
        <v>0.885</v>
      </c>
      <c r="G85" s="5">
        <f t="shared" si="10"/>
        <v>0.1274</v>
      </c>
      <c r="H85" s="5">
        <f t="shared" si="10"/>
        <v>0.0026</v>
      </c>
      <c r="I85" s="5">
        <v>30</v>
      </c>
      <c r="J85" s="5">
        <f t="shared" si="9"/>
        <v>0.7716</v>
      </c>
      <c r="K85" s="5"/>
      <c r="L85" s="47"/>
      <c r="M85" s="47"/>
      <c r="N85" s="47"/>
    </row>
    <row r="86" customHeight="1" spans="1:14">
      <c r="A86" s="5" t="s">
        <v>73</v>
      </c>
      <c r="B86" s="5">
        <v>3</v>
      </c>
      <c r="C86" s="5" t="s">
        <v>99</v>
      </c>
      <c r="D86" s="5">
        <f t="shared" ref="D86:H86" si="11">D58*$B$86</f>
        <v>1.8</v>
      </c>
      <c r="E86" s="5">
        <f t="shared" si="11"/>
        <v>0.17</v>
      </c>
      <c r="F86" s="5">
        <f t="shared" si="11"/>
        <v>0.02</v>
      </c>
      <c r="G86" s="5">
        <f t="shared" si="11"/>
        <v>0.8848</v>
      </c>
      <c r="H86" s="5">
        <f t="shared" si="11"/>
        <v>0.1252</v>
      </c>
      <c r="I86" s="5">
        <v>10</v>
      </c>
      <c r="J86" s="5">
        <f t="shared" si="9"/>
        <v>2.8882</v>
      </c>
      <c r="K86" s="5"/>
    </row>
    <row r="87" customHeight="1" spans="1:14">
      <c r="A87" s="5" t="s">
        <v>76</v>
      </c>
      <c r="B87" s="5">
        <v>3</v>
      </c>
      <c r="C87" s="5" t="s">
        <v>101</v>
      </c>
      <c r="D87" s="5">
        <f t="shared" ref="D87:H87" si="12">D59*$B$87</f>
        <v>1.8</v>
      </c>
      <c r="E87" s="5">
        <f t="shared" si="12"/>
        <v>0.17</v>
      </c>
      <c r="F87" s="5">
        <f t="shared" si="12"/>
        <v>0.02</v>
      </c>
      <c r="G87" s="5">
        <f t="shared" si="12"/>
        <v>0.0098</v>
      </c>
      <c r="H87" s="5">
        <f t="shared" si="12"/>
        <v>1.0001</v>
      </c>
      <c r="I87" s="5">
        <v>5</v>
      </c>
      <c r="J87" s="5">
        <f t="shared" si="9"/>
        <v>8.1374</v>
      </c>
      <c r="K87" s="5"/>
      <c r="L87" s="47"/>
      <c r="M87" s="47"/>
      <c r="N87" s="46"/>
    </row>
    <row r="88" customHeight="1" spans="1:14">
      <c r="A88" s="5" t="s">
        <v>102</v>
      </c>
      <c r="B88" s="5">
        <v>2</v>
      </c>
      <c r="C88" s="5" t="s">
        <v>103</v>
      </c>
      <c r="D88" s="5"/>
      <c r="E88" s="5"/>
      <c r="F88" s="5">
        <v>1.6</v>
      </c>
      <c r="G88" s="5">
        <v>0.36</v>
      </c>
      <c r="H88" s="5">
        <v>0.04</v>
      </c>
      <c r="I88" s="5">
        <v>10</v>
      </c>
      <c r="J88" s="5">
        <f t="shared" si="9"/>
        <v>1.84</v>
      </c>
      <c r="K88" s="5"/>
      <c r="L88" s="47"/>
      <c r="M88" s="46"/>
      <c r="N88" s="46"/>
    </row>
    <row r="89" customHeight="1" spans="1:14">
      <c r="A89" s="5" t="s">
        <v>106</v>
      </c>
      <c r="B89" s="5">
        <v>1</v>
      </c>
      <c r="C89" s="5" t="s">
        <v>107</v>
      </c>
      <c r="D89" s="5" t="s">
        <v>10</v>
      </c>
      <c r="E89" s="5" t="s">
        <v>10</v>
      </c>
      <c r="F89" s="5" t="s">
        <v>10</v>
      </c>
      <c r="G89" s="5" t="s">
        <v>10</v>
      </c>
      <c r="H89" s="5" t="s">
        <v>10</v>
      </c>
      <c r="I89" s="5"/>
      <c r="J89" s="5">
        <v>15</v>
      </c>
      <c r="K89" s="5" t="s">
        <v>120</v>
      </c>
      <c r="L89" s="47"/>
      <c r="M89" s="46"/>
      <c r="N89" s="46"/>
    </row>
    <row r="90" customHeight="1" spans="1:14">
      <c r="A90" s="5" t="s">
        <v>108</v>
      </c>
      <c r="B90" s="5">
        <v>1</v>
      </c>
      <c r="C90" s="5" t="s">
        <v>10</v>
      </c>
      <c r="D90" s="5" t="s">
        <v>10</v>
      </c>
      <c r="E90" s="5" t="s">
        <v>10</v>
      </c>
      <c r="F90" s="5" t="s">
        <v>10</v>
      </c>
      <c r="G90" s="5" t="s">
        <v>10</v>
      </c>
      <c r="H90" s="5" t="s">
        <v>10</v>
      </c>
      <c r="I90" s="5"/>
      <c r="J90" s="5"/>
      <c r="K90" s="5" t="s">
        <v>121</v>
      </c>
      <c r="L90" s="47"/>
      <c r="M90" s="46"/>
      <c r="N90" s="47"/>
    </row>
    <row r="91" customHeight="1" spans="1:14">
      <c r="A91" s="5" t="s">
        <v>106</v>
      </c>
      <c r="B91" s="5">
        <v>1</v>
      </c>
      <c r="C91" s="5" t="s">
        <v>10</v>
      </c>
      <c r="D91" s="5" t="s">
        <v>10</v>
      </c>
      <c r="E91" s="5" t="s">
        <v>10</v>
      </c>
      <c r="F91" s="5" t="s">
        <v>10</v>
      </c>
      <c r="G91" s="5" t="s">
        <v>10</v>
      </c>
      <c r="H91" s="5" t="s">
        <v>10</v>
      </c>
      <c r="I91" s="5"/>
      <c r="J91" s="5"/>
      <c r="K91" s="5"/>
      <c r="L91" s="47"/>
      <c r="M91" s="46"/>
      <c r="N91" s="46"/>
    </row>
    <row r="92" customHeight="1" spans="1:14">
      <c r="J92" s="46"/>
      <c r="K92" s="47"/>
      <c r="L92" s="47"/>
      <c r="M92" s="46"/>
      <c r="N92" s="46"/>
    </row>
    <row r="93" customHeight="1" spans="1:14">
      <c r="A93" s="4"/>
      <c r="B93" s="4" t="s">
        <v>90</v>
      </c>
      <c r="C93" s="4" t="s">
        <v>91</v>
      </c>
      <c r="D93" s="4" t="s">
        <v>111</v>
      </c>
      <c r="E93" s="4" t="s">
        <v>112</v>
      </c>
      <c r="F93" s="4" t="s">
        <v>113</v>
      </c>
      <c r="G93" s="4" t="s">
        <v>114</v>
      </c>
      <c r="H93" s="4" t="s">
        <v>115</v>
      </c>
      <c r="J93" s="46"/>
      <c r="K93" s="47"/>
      <c r="L93" s="47"/>
      <c r="M93" s="47"/>
      <c r="N93" s="46"/>
    </row>
    <row r="94" customHeight="1" spans="1:14">
      <c r="A94" s="5" t="s">
        <v>65</v>
      </c>
      <c r="B94" s="5">
        <v>1</v>
      </c>
      <c r="C94" s="5" t="s">
        <v>10</v>
      </c>
      <c r="D94" s="5">
        <f t="shared" ref="D94:H94" si="13">D83*$I$83</f>
        <v>94.5</v>
      </c>
      <c r="E94" s="5">
        <f t="shared" si="13"/>
        <v>8.925</v>
      </c>
      <c r="F94" s="5">
        <f t="shared" si="13"/>
        <v>1.05</v>
      </c>
      <c r="G94" s="5">
        <f t="shared" si="13"/>
        <v>0.5145</v>
      </c>
      <c r="H94" s="5">
        <f t="shared" si="13"/>
        <v>0.0105</v>
      </c>
      <c r="K94" s="46"/>
      <c r="L94" s="47"/>
      <c r="M94" s="47"/>
      <c r="N94" s="46"/>
    </row>
    <row r="95" customHeight="1" spans="1:14">
      <c r="A95" s="5" t="s">
        <v>67</v>
      </c>
      <c r="B95" s="5">
        <v>1</v>
      </c>
      <c r="C95" s="5" t="s">
        <v>97</v>
      </c>
      <c r="D95" s="5">
        <f t="shared" ref="D95:H95" si="14">D84*$I$84</f>
        <v>0</v>
      </c>
      <c r="E95" s="5">
        <f t="shared" si="14"/>
        <v>67.2</v>
      </c>
      <c r="F95" s="5">
        <f t="shared" si="14"/>
        <v>11.2</v>
      </c>
      <c r="G95" s="5">
        <f t="shared" si="14"/>
        <v>1.584</v>
      </c>
      <c r="H95" s="5">
        <f t="shared" si="14"/>
        <v>0.016</v>
      </c>
      <c r="K95" s="46"/>
      <c r="L95" s="47"/>
      <c r="M95" s="47"/>
      <c r="N95" s="46"/>
    </row>
    <row r="96" customHeight="1" spans="1:14">
      <c r="A96" s="5" t="s">
        <v>70</v>
      </c>
      <c r="B96" s="5">
        <v>2</v>
      </c>
      <c r="C96" s="5" t="s">
        <v>98</v>
      </c>
      <c r="D96" s="5">
        <f t="shared" ref="D96:H96" si="15">D85*$I$85</f>
        <v>27</v>
      </c>
      <c r="E96" s="5">
        <f t="shared" si="15"/>
        <v>2.55</v>
      </c>
      <c r="F96" s="5">
        <f t="shared" si="15"/>
        <v>26.55</v>
      </c>
      <c r="G96" s="5">
        <f t="shared" si="15"/>
        <v>3.822</v>
      </c>
      <c r="H96" s="5">
        <f t="shared" si="15"/>
        <v>0.078</v>
      </c>
      <c r="K96" s="46"/>
      <c r="L96" s="47"/>
      <c r="M96" s="47"/>
      <c r="N96" s="47"/>
    </row>
    <row r="97" customHeight="1" spans="1:14">
      <c r="A97" s="5" t="s">
        <v>73</v>
      </c>
      <c r="B97" s="5">
        <v>3</v>
      </c>
      <c r="C97" s="5" t="s">
        <v>99</v>
      </c>
      <c r="D97" s="5">
        <f t="shared" ref="D97:H97" si="16">D86*$I$86</f>
        <v>18</v>
      </c>
      <c r="E97" s="5">
        <f t="shared" si="16"/>
        <v>1.7</v>
      </c>
      <c r="F97" s="5">
        <f t="shared" si="16"/>
        <v>0.2</v>
      </c>
      <c r="G97" s="5">
        <f t="shared" si="16"/>
        <v>8.848</v>
      </c>
      <c r="H97" s="5">
        <f t="shared" si="16"/>
        <v>1.252</v>
      </c>
      <c r="I97" s="47"/>
      <c r="K97" s="46"/>
      <c r="L97" s="47"/>
      <c r="M97" s="47"/>
      <c r="N97" s="46"/>
    </row>
    <row r="98" customHeight="1" spans="1:14">
      <c r="A98" s="5" t="s">
        <v>76</v>
      </c>
      <c r="B98" s="5">
        <v>3</v>
      </c>
      <c r="C98" s="5" t="s">
        <v>101</v>
      </c>
      <c r="D98" s="5">
        <f t="shared" ref="D98:H98" si="17">D87*$I$87</f>
        <v>9</v>
      </c>
      <c r="E98" s="5">
        <f t="shared" si="17"/>
        <v>0.85</v>
      </c>
      <c r="F98" s="5">
        <f t="shared" si="17"/>
        <v>0.1</v>
      </c>
      <c r="G98" s="5">
        <f t="shared" si="17"/>
        <v>0.049</v>
      </c>
      <c r="H98" s="5">
        <f t="shared" si="17"/>
        <v>5.0005</v>
      </c>
      <c r="I98" s="46"/>
      <c r="K98" s="46"/>
      <c r="L98" s="47"/>
      <c r="M98" s="47"/>
      <c r="N98" s="46"/>
    </row>
    <row r="99" customHeight="1" spans="1:14">
      <c r="A99" s="5" t="s">
        <v>102</v>
      </c>
      <c r="B99" s="5">
        <v>2</v>
      </c>
      <c r="C99" s="5" t="s">
        <v>103</v>
      </c>
      <c r="D99" s="5">
        <f t="shared" ref="D99:H99" si="18">D88*$I$88</f>
        <v>0</v>
      </c>
      <c r="E99" s="5">
        <f t="shared" si="18"/>
        <v>0</v>
      </c>
      <c r="F99" s="5">
        <f t="shared" si="18"/>
        <v>16</v>
      </c>
      <c r="G99" s="5">
        <f t="shared" si="18"/>
        <v>3.6</v>
      </c>
      <c r="H99" s="5">
        <f t="shared" si="18"/>
        <v>0.4</v>
      </c>
      <c r="I99" s="46"/>
      <c r="K99" s="46"/>
      <c r="L99" s="47"/>
      <c r="M99" s="47"/>
      <c r="N99" s="46"/>
    </row>
    <row r="100" customHeight="1" spans="1:14">
      <c r="A100" s="5" t="s">
        <v>106</v>
      </c>
      <c r="B100" s="5">
        <v>1</v>
      </c>
      <c r="C100" s="5" t="s">
        <v>107</v>
      </c>
      <c r="D100" s="5" t="s">
        <v>10</v>
      </c>
      <c r="E100" s="5" t="s">
        <v>10</v>
      </c>
      <c r="F100" s="5" t="s">
        <v>10</v>
      </c>
      <c r="G100" s="5" t="s">
        <v>10</v>
      </c>
      <c r="H100" s="5" t="s">
        <v>10</v>
      </c>
      <c r="I100" s="46"/>
      <c r="K100" s="46"/>
      <c r="L100" s="47"/>
      <c r="M100" s="47"/>
      <c r="N100" s="47"/>
    </row>
    <row r="101" customHeight="1" spans="1:14">
      <c r="A101" s="5" t="s">
        <v>108</v>
      </c>
      <c r="B101" s="5">
        <v>1</v>
      </c>
      <c r="C101" s="5" t="s">
        <v>10</v>
      </c>
      <c r="D101" s="5" t="s">
        <v>10</v>
      </c>
      <c r="E101" s="5" t="s">
        <v>10</v>
      </c>
      <c r="F101" s="5" t="s">
        <v>10</v>
      </c>
      <c r="G101" s="5" t="s">
        <v>10</v>
      </c>
      <c r="H101" s="5" t="s">
        <v>10</v>
      </c>
      <c r="I101" s="46"/>
    </row>
    <row r="102" customHeight="1" spans="1:14">
      <c r="A102" s="5" t="s">
        <v>106</v>
      </c>
      <c r="B102" s="5">
        <v>1</v>
      </c>
      <c r="C102" s="5" t="s">
        <v>10</v>
      </c>
      <c r="D102" s="5" t="s">
        <v>10</v>
      </c>
      <c r="E102" s="5" t="s">
        <v>10</v>
      </c>
      <c r="F102" s="5" t="s">
        <v>10</v>
      </c>
      <c r="G102" s="5" t="s">
        <v>10</v>
      </c>
      <c r="H102" s="5" t="s">
        <v>10</v>
      </c>
      <c r="I102" s="46"/>
    </row>
    <row r="103" customHeight="1" spans="1:14">
      <c r="A103" s="5" t="s">
        <v>122</v>
      </c>
      <c r="B103" s="5"/>
      <c r="C103" s="5"/>
      <c r="D103" s="5">
        <f t="shared" ref="D103:H103" si="19">SUM(D94:D102)</f>
        <v>148.5</v>
      </c>
      <c r="E103" s="5">
        <f t="shared" si="19"/>
        <v>81.225</v>
      </c>
      <c r="F103" s="5">
        <f t="shared" si="19"/>
        <v>55.1</v>
      </c>
      <c r="G103" s="5">
        <f t="shared" si="19"/>
        <v>18.4175</v>
      </c>
      <c r="H103" s="5">
        <f t="shared" si="19"/>
        <v>6.757</v>
      </c>
      <c r="I103" s="47"/>
      <c r="K103" s="47"/>
      <c r="L103" s="47"/>
      <c r="M103" s="47"/>
      <c r="N103" s="47"/>
    </row>
    <row r="104" customHeight="1" spans="1:14">
      <c r="D104" s="13">
        <f>D103*$B$4</f>
        <v>7.425</v>
      </c>
      <c r="E104" s="13">
        <f>E103*$C$4</f>
        <v>8.1225</v>
      </c>
      <c r="F104" s="13">
        <f>F103*$D$4</f>
        <v>27.55</v>
      </c>
      <c r="G104" s="13">
        <f>G103*$E$4</f>
        <v>36.835</v>
      </c>
      <c r="H104" s="13">
        <f>H103*F4</f>
        <v>54.056</v>
      </c>
      <c r="I104" s="8">
        <f>SUM(D104:H104)</f>
        <v>133.9885</v>
      </c>
      <c r="K104" s="46"/>
      <c r="L104" s="47"/>
      <c r="M104" s="47"/>
      <c r="N104" s="46"/>
    </row>
    <row r="105" customHeight="1" spans="1:14">
      <c r="A105" s="3" t="s">
        <v>123</v>
      </c>
    </row>
    <row r="106" customHeight="1" spans="1:14">
      <c r="A106" s="5"/>
      <c r="B106" s="5" t="s">
        <v>124</v>
      </c>
      <c r="C106" s="5" t="s">
        <v>125</v>
      </c>
      <c r="D106" s="5" t="s">
        <v>126</v>
      </c>
      <c r="E106" s="5" t="s">
        <v>127</v>
      </c>
      <c r="F106" s="5" t="s">
        <v>128</v>
      </c>
      <c r="G106" s="5" t="s">
        <v>129</v>
      </c>
      <c r="H106" s="5" t="s">
        <v>130</v>
      </c>
    </row>
    <row r="107" customHeight="1" spans="1:14">
      <c r="A107" s="4" t="s">
        <v>131</v>
      </c>
      <c r="B107" s="5">
        <f>D20</f>
        <v>20</v>
      </c>
      <c r="C107" s="5">
        <f>D103</f>
        <v>148.5</v>
      </c>
      <c r="D107" s="5">
        <v>72</v>
      </c>
      <c r="E107" s="48">
        <f t="shared" ref="E107:E111" si="20">B107*(1-EXP(-C107/B107))</f>
        <v>19.9880767824663</v>
      </c>
      <c r="F107" s="48">
        <f t="shared" ref="F107:F111" si="21">B107-E107</f>
        <v>0.0119232175336883</v>
      </c>
      <c r="G107" s="18">
        <f t="shared" ref="G107:G111" si="22">C107-(B107*(1-EXP(-C107/B107)))</f>
        <v>128.511923217534</v>
      </c>
      <c r="H107" s="18">
        <v>5</v>
      </c>
      <c r="I107" s="8">
        <f t="shared" ref="I107:I111" si="23">G107*H107</f>
        <v>642.559616087668</v>
      </c>
    </row>
    <row r="108" customHeight="1" spans="1:14">
      <c r="A108" s="4" t="s">
        <v>132</v>
      </c>
      <c r="B108" s="5">
        <f>E20</f>
        <v>20</v>
      </c>
      <c r="C108" s="5">
        <f>E103</f>
        <v>81.225</v>
      </c>
      <c r="D108" s="5">
        <v>72</v>
      </c>
      <c r="E108" s="48">
        <f t="shared" si="20"/>
        <v>19.6554505737673</v>
      </c>
      <c r="F108" s="48">
        <f t="shared" si="21"/>
        <v>0.344549426232703</v>
      </c>
      <c r="G108" s="18">
        <f t="shared" si="22"/>
        <v>61.5695494262327</v>
      </c>
      <c r="H108" s="18">
        <v>10</v>
      </c>
      <c r="I108" s="8">
        <f t="shared" si="23"/>
        <v>615.695494262327</v>
      </c>
      <c r="K108" s="46"/>
      <c r="L108" s="47"/>
      <c r="M108" s="47"/>
      <c r="N108" s="46"/>
    </row>
    <row r="109" customHeight="1" spans="1:14">
      <c r="A109" s="4" t="s">
        <v>133</v>
      </c>
      <c r="B109" s="5">
        <f>F20</f>
        <v>13</v>
      </c>
      <c r="C109" s="5">
        <f>F103</f>
        <v>55.1</v>
      </c>
      <c r="D109" s="5">
        <v>54</v>
      </c>
      <c r="E109" s="48">
        <f t="shared" si="20"/>
        <v>12.8124129324337</v>
      </c>
      <c r="F109" s="48">
        <f t="shared" si="21"/>
        <v>0.187587067566295</v>
      </c>
      <c r="G109" s="18">
        <f t="shared" si="22"/>
        <v>42.2875870675663</v>
      </c>
      <c r="H109" s="18">
        <v>50</v>
      </c>
      <c r="I109" s="8">
        <f t="shared" si="23"/>
        <v>2114.37935337831</v>
      </c>
      <c r="K109" s="46"/>
      <c r="L109" s="47"/>
      <c r="M109" s="47"/>
      <c r="N109" s="46"/>
    </row>
    <row r="110" customHeight="1" spans="1:14">
      <c r="A110" s="4" t="s">
        <v>134</v>
      </c>
      <c r="B110" s="5">
        <f>G20</f>
        <v>13</v>
      </c>
      <c r="C110" s="5">
        <f>G103</f>
        <v>18.4175</v>
      </c>
      <c r="D110" s="5">
        <v>58.5</v>
      </c>
      <c r="E110" s="48">
        <f t="shared" si="20"/>
        <v>9.84742812415464</v>
      </c>
      <c r="F110" s="49">
        <f t="shared" si="21"/>
        <v>3.15257187584536</v>
      </c>
      <c r="G110" s="18">
        <f t="shared" si="22"/>
        <v>8.57007187584536</v>
      </c>
      <c r="H110" s="18">
        <v>150</v>
      </c>
      <c r="I110" s="8">
        <f t="shared" si="23"/>
        <v>1285.5107813768</v>
      </c>
      <c r="K110" s="46"/>
      <c r="L110" s="47"/>
      <c r="M110" s="47"/>
      <c r="N110" s="47"/>
    </row>
    <row r="111" customHeight="1" spans="1:14">
      <c r="A111" s="4" t="s">
        <v>135</v>
      </c>
      <c r="B111" s="5">
        <f>H20</f>
        <v>6</v>
      </c>
      <c r="C111" s="5">
        <f>H103</f>
        <v>6.757</v>
      </c>
      <c r="D111" s="5">
        <v>21.7</v>
      </c>
      <c r="E111" s="48">
        <f t="shared" si="20"/>
        <v>4.05435643797255</v>
      </c>
      <c r="F111" s="49">
        <f t="shared" si="21"/>
        <v>1.94564356202745</v>
      </c>
      <c r="G111" s="18">
        <f t="shared" si="22"/>
        <v>2.70264356202745</v>
      </c>
      <c r="H111" s="18">
        <v>500</v>
      </c>
      <c r="I111" s="8">
        <f t="shared" si="23"/>
        <v>1351.32178101372</v>
      </c>
    </row>
    <row r="112" customHeight="1" spans="1:14">
      <c r="I112" s="8">
        <f>SUM(I107:I111)</f>
        <v>6009.46702611884</v>
      </c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idden="1" customHeight="1" spans="1:26">
      <c r="A178" s="2"/>
      <c r="B178" s="2"/>
      <c r="C178" s="2"/>
      <c r="D178" s="2"/>
      <c r="E178" s="2"/>
      <c r="F178" s="2"/>
      <c r="G178" s="2"/>
      <c r="H178" s="2"/>
      <c r="I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idden="1" customHeight="1" spans="1:26">
      <c r="A179" s="2"/>
      <c r="B179" s="2"/>
      <c r="C179" s="2"/>
      <c r="D179" s="2"/>
      <c r="E179" s="2"/>
      <c r="F179" s="2"/>
      <c r="G179" s="2"/>
      <c r="H179" s="2"/>
      <c r="I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idden="1" customHeight="1" spans="1:26">
      <c r="A180" s="2"/>
      <c r="B180" s="2"/>
      <c r="C180" s="2"/>
    </row>
    <row r="181" hidden="1" customHeight="1" spans="1:26">
      <c r="A181" s="2" t="s">
        <v>136</v>
      </c>
      <c r="B181" s="2" t="s">
        <v>137</v>
      </c>
      <c r="C181" s="2"/>
    </row>
    <row r="182" hidden="1" customHeight="1" spans="1:26">
      <c r="A182" s="2" t="s">
        <v>138</v>
      </c>
      <c r="B182" s="2" t="s">
        <v>139</v>
      </c>
      <c r="C182" s="2"/>
    </row>
    <row r="183" customHeight="1" spans="1:26">
      <c r="A183" s="2"/>
      <c r="B183" s="2"/>
      <c r="C183" s="2"/>
    </row>
    <row r="201" customHeight="1" spans="11:11">
      <c r="K201" s="1" t="s">
        <v>140</v>
      </c>
    </row>
    <row r="209" customHeight="1" spans="1:3">
      <c r="A209" s="2"/>
      <c r="B209" s="2"/>
      <c r="C209" s="2"/>
    </row>
    <row r="210" customHeight="1" spans="1:3">
      <c r="A210" s="2"/>
      <c r="B210" s="2"/>
      <c r="C210" s="2"/>
    </row>
    <row r="211" customHeight="1" spans="1:3">
      <c r="A211" s="2"/>
      <c r="B211" s="2"/>
      <c r="C211" s="2"/>
    </row>
    <row r="212" customHeight="1" spans="1:3">
      <c r="A212" s="2"/>
      <c r="B212" s="2"/>
      <c r="C212" s="2"/>
    </row>
    <row r="213" customHeight="1" spans="1:3">
      <c r="A213" s="2"/>
      <c r="B213" s="2"/>
      <c r="C213" s="2"/>
    </row>
    <row r="214" customHeight="1" spans="1:3">
      <c r="A214" s="2"/>
      <c r="B214" s="2"/>
      <c r="C214" s="2"/>
    </row>
    <row r="215" customHeight="1" spans="1:3">
      <c r="A215" s="2"/>
      <c r="B215" s="2"/>
      <c r="C215" s="2"/>
    </row>
    <row r="216" customHeight="1" spans="1:3">
      <c r="A216" s="2"/>
      <c r="B216" s="2"/>
      <c r="C216" s="2"/>
    </row>
    <row r="217" customHeight="1" spans="1:3">
      <c r="A217" s="2"/>
      <c r="B217" s="2"/>
      <c r="C217" s="2"/>
    </row>
    <row r="218" customHeight="1" spans="1:3">
      <c r="A218" s="2"/>
      <c r="B218" s="2"/>
      <c r="C218" s="2"/>
    </row>
    <row r="219" customHeight="1" spans="1:3">
      <c r="A219" s="2"/>
      <c r="B219" s="2"/>
      <c r="C219" s="2"/>
    </row>
    <row r="220" customHeight="1" spans="1:3">
      <c r="A220" s="2"/>
      <c r="B220" s="2"/>
      <c r="C220" s="2"/>
    </row>
    <row r="221" customHeight="1" spans="1:3">
      <c r="A221" s="2"/>
      <c r="B221" s="2"/>
      <c r="C221" s="2"/>
    </row>
    <row r="222" customHeight="1" spans="1:3">
      <c r="A222" s="2"/>
      <c r="B222" s="2"/>
      <c r="C222" s="2"/>
    </row>
    <row r="223" customHeight="1" spans="1:3">
      <c r="A223" s="2"/>
      <c r="B223" s="2"/>
      <c r="C223" s="2"/>
    </row>
    <row r="224" customHeight="1" spans="1:3">
      <c r="A224" s="2"/>
      <c r="B224" s="2"/>
      <c r="C224" s="2"/>
    </row>
    <row r="225" customHeight="1" spans="1:3">
      <c r="A225" s="2"/>
      <c r="B225" s="2"/>
      <c r="C225" s="2"/>
    </row>
    <row r="226" customHeight="1" spans="1:3">
      <c r="A226" s="2"/>
      <c r="B226" s="2"/>
      <c r="C226" s="2"/>
    </row>
    <row r="227" customHeight="1" spans="1:3">
      <c r="A227" s="2"/>
      <c r="B227" s="2"/>
      <c r="C227" s="2"/>
    </row>
    <row r="228" customHeight="1" spans="1:3">
      <c r="A228" s="2"/>
      <c r="B228" s="2"/>
      <c r="C228" s="2"/>
    </row>
    <row r="229" customHeight="1" spans="1:3">
      <c r="A229" s="2"/>
      <c r="B229" s="2"/>
      <c r="C229" s="2"/>
    </row>
    <row r="230" customHeight="1" spans="1:3">
      <c r="A230" s="2"/>
      <c r="B230" s="2"/>
      <c r="C230" s="2"/>
    </row>
    <row r="231" customHeight="1" spans="1:3">
      <c r="A231" s="2"/>
      <c r="B231" s="2"/>
      <c r="C231" s="2"/>
    </row>
    <row r="232" customHeight="1" spans="1:3">
      <c r="A232" s="2"/>
      <c r="B232" s="2"/>
      <c r="C232" s="2"/>
    </row>
    <row r="233" customHeight="1" spans="1:3">
      <c r="A233" s="2"/>
      <c r="B233" s="2"/>
      <c r="C233" s="2"/>
    </row>
    <row r="234" customHeight="1" spans="1:3">
      <c r="A234" s="2"/>
      <c r="B234" s="2"/>
      <c r="C234" s="2"/>
    </row>
    <row r="235" customHeight="1" spans="1:3">
      <c r="A235" s="2"/>
      <c r="B235" s="2"/>
      <c r="C235" s="2"/>
    </row>
    <row r="236" customHeight="1" spans="1:3">
      <c r="A236" s="2"/>
      <c r="B236" s="2"/>
      <c r="C236" s="2"/>
    </row>
    <row r="237" customHeight="1" spans="1:3">
      <c r="A237" s="2"/>
      <c r="B237" s="2"/>
      <c r="C237" s="2"/>
    </row>
    <row r="238" customHeight="1" spans="1:3">
      <c r="A238" s="2"/>
      <c r="B238" s="2"/>
      <c r="C238" s="2"/>
    </row>
    <row r="239" customHeight="1" spans="1:3">
      <c r="A239" s="2"/>
      <c r="B239" s="2"/>
      <c r="C239" s="2"/>
    </row>
    <row r="240" customHeight="1" spans="1:3">
      <c r="A240" s="2"/>
      <c r="B240" s="2"/>
      <c r="C240" s="2"/>
    </row>
    <row r="241" customHeight="1" spans="1:3">
      <c r="A241" s="2"/>
      <c r="B241" s="2"/>
      <c r="C241" s="2"/>
    </row>
    <row r="242" customHeight="1" spans="1:3">
      <c r="A242" s="2"/>
      <c r="B242" s="2"/>
      <c r="C242" s="2"/>
    </row>
    <row r="243" customHeight="1" spans="1:3">
      <c r="A243" s="2"/>
      <c r="B243" s="2"/>
      <c r="C243" s="2"/>
    </row>
  </sheetData>
  <mergeCells count="5">
    <mergeCell ref="A23:H23"/>
    <mergeCell ref="A53:H53"/>
    <mergeCell ref="A67:H67"/>
    <mergeCell ref="A81:H81"/>
    <mergeCell ref="A105:H105"/>
  </mergeCells>
  <hyperlinks>
    <hyperlink ref="C26" r:id="rId1" location="gid=1364349177&amp;range=13:17" display="https://docs.google.com/spreadsheets/d/1Ia-eYU96M6JqB94Dp_JwNE7mICuNhosfOdHLwARHrnU/edit?gid=1364349177#gid=1364349177&amp;range=13:17"/>
    <hyperlink ref="C27" r:id="rId2" location="gid=87578117&amp;range=1:1" display="https://docs.google.com/spreadsheets/d/1Ia-eYU96M6JqB94Dp_JwNE7mICuNhosfOdHLwARHrnU/edit?gid=87578117#gid=87578117&amp;range=1: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51"/>
  <sheetViews>
    <sheetView workbookViewId="0">
      <selection activeCell="A1" sqref="A1:H1"/>
    </sheetView>
  </sheetViews>
  <sheetFormatPr defaultColWidth="12.6285714285714" defaultRowHeight="15.75" customHeight="1"/>
  <cols>
    <col min="1" max="1" width="24.3809523809524" customWidth="1"/>
  </cols>
  <sheetData>
    <row r="1" customHeight="1" spans="1:26">
      <c r="A1" s="3" t="s">
        <v>141</v>
      </c>
    </row>
    <row r="2" customHeight="1" spans="1:26">
      <c r="A2" s="2" t="s">
        <v>142</v>
      </c>
      <c r="B2" s="2"/>
      <c r="C2" s="2"/>
      <c r="D2" s="2"/>
      <c r="E2" s="2"/>
      <c r="F2" s="2"/>
      <c r="G2" s="2"/>
      <c r="H2" s="2"/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2" t="s">
        <v>143</v>
      </c>
      <c r="B3" s="2"/>
      <c r="C3" s="2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2" t="s">
        <v>144</v>
      </c>
      <c r="B4" s="2"/>
      <c r="C4" s="2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2" t="s">
        <v>145</v>
      </c>
      <c r="B5" s="2">
        <v>4.99</v>
      </c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2" t="s">
        <v>146</v>
      </c>
      <c r="B6" s="2">
        <f>K30+O30</f>
        <v>23</v>
      </c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2" t="s">
        <v>147</v>
      </c>
      <c r="B7" s="39">
        <f>B6/B5</f>
        <v>4.60921843687375</v>
      </c>
      <c r="C7" s="2"/>
      <c r="D7" s="14"/>
      <c r="E7" s="14"/>
      <c r="G7" s="14"/>
      <c r="H7" s="14"/>
      <c r="J7" s="14"/>
      <c r="K7" s="1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2"/>
      <c r="B8" s="2"/>
      <c r="C8" s="2"/>
      <c r="D8" s="14" t="s">
        <v>148</v>
      </c>
      <c r="E8" s="14"/>
      <c r="G8" s="14" t="s">
        <v>149</v>
      </c>
      <c r="H8" s="14"/>
      <c r="J8" s="14"/>
      <c r="K8" s="1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17" t="s">
        <v>150</v>
      </c>
      <c r="B9" s="17" t="s">
        <v>151</v>
      </c>
      <c r="C9" s="17" t="s">
        <v>152</v>
      </c>
      <c r="D9" s="17" t="s">
        <v>153</v>
      </c>
      <c r="E9" s="17"/>
      <c r="F9" s="17" t="s">
        <v>154</v>
      </c>
      <c r="G9" s="17" t="s">
        <v>155</v>
      </c>
      <c r="H9" s="17" t="s">
        <v>156</v>
      </c>
      <c r="I9" s="17" t="s">
        <v>64</v>
      </c>
      <c r="J9" s="17" t="s">
        <v>154</v>
      </c>
      <c r="K9" s="17" t="s">
        <v>157</v>
      </c>
      <c r="L9" s="17" t="s">
        <v>158</v>
      </c>
      <c r="M9" s="17" t="s">
        <v>64</v>
      </c>
      <c r="N9" s="17" t="s">
        <v>154</v>
      </c>
      <c r="O9" s="17" t="s">
        <v>157</v>
      </c>
      <c r="P9" s="2" t="s">
        <v>159</v>
      </c>
      <c r="R9" s="2" t="s">
        <v>159</v>
      </c>
      <c r="S9" s="2" t="s">
        <v>159</v>
      </c>
      <c r="T9" s="2"/>
      <c r="U9" s="2"/>
      <c r="V9" s="2"/>
      <c r="W9" s="2"/>
      <c r="X9" s="2"/>
      <c r="Y9" s="2"/>
      <c r="Z9" s="2"/>
    </row>
    <row r="10" customHeight="1" spans="1:26">
      <c r="A10" s="17">
        <v>1</v>
      </c>
      <c r="B10" s="17">
        <v>100</v>
      </c>
      <c r="C10" s="17">
        <v>100</v>
      </c>
      <c r="D10" s="17" t="s">
        <v>65</v>
      </c>
      <c r="E10" s="17">
        <v>111110002</v>
      </c>
      <c r="F10" s="17">
        <v>1</v>
      </c>
      <c r="G10" s="5">
        <v>0.05</v>
      </c>
      <c r="H10" s="17" t="s">
        <v>65</v>
      </c>
      <c r="I10" s="17">
        <v>111110002</v>
      </c>
      <c r="J10" s="17">
        <v>1</v>
      </c>
      <c r="K10" s="5">
        <v>0.05</v>
      </c>
      <c r="L10" s="17" t="s">
        <v>65</v>
      </c>
      <c r="M10" s="17">
        <v>111110002</v>
      </c>
      <c r="N10" s="17">
        <v>1</v>
      </c>
      <c r="O10" s="17">
        <v>0.05</v>
      </c>
      <c r="P10" s="2" t="str">
        <f t="shared" ref="P10:P29" si="0">SUBSTITUTE($P$9,"xxx",E10)</f>
        <v>{"typ":"item","id":111110002,"val":1}</v>
      </c>
      <c r="Q10" s="8" t="str">
        <f t="shared" ref="Q10:Q29" si="1">"["&amp;P10&amp;"]"</f>
        <v>[{"typ":"item","id":111110002,"val":1}]</v>
      </c>
      <c r="R10" s="2" t="str">
        <f t="shared" ref="R10:R29" si="2">SUBSTITUTE($P$9,"xxx",I10)</f>
        <v>{"typ":"item","id":111110002,"val":1}</v>
      </c>
      <c r="S10" s="2" t="str">
        <f t="shared" ref="S10:S29" si="3">SUBSTITUTE($P$9,"xxx",M10)</f>
        <v>{"typ":"item","id":111110002,"val":1}</v>
      </c>
      <c r="T10" s="2" t="str">
        <f t="shared" ref="T10:T29" si="4">R10&amp;","&amp;S10</f>
        <v>{"typ":"item","id":111110002,"val":1},{"typ":"item","id":111110002,"val":1}</v>
      </c>
      <c r="U10" s="8" t="str">
        <f t="shared" ref="U10:U29" si="5">"["&amp;T10&amp;"]"</f>
        <v>[{"typ":"item","id":111110002,"val":1},{"typ":"item","id":111110002,"val":1}]</v>
      </c>
      <c r="V10" s="2"/>
      <c r="W10" s="2"/>
      <c r="X10" s="2"/>
      <c r="Y10" s="2"/>
      <c r="Z10" s="2"/>
    </row>
    <row r="11" customHeight="1" spans="1:26">
      <c r="A11" s="17">
        <v>2</v>
      </c>
      <c r="B11" s="17">
        <v>100</v>
      </c>
      <c r="C11" s="17">
        <v>200</v>
      </c>
      <c r="D11" s="17" t="s">
        <v>23</v>
      </c>
      <c r="E11" s="17">
        <v>11111156</v>
      </c>
      <c r="F11" s="17">
        <v>1</v>
      </c>
      <c r="G11" s="5">
        <v>0.45</v>
      </c>
      <c r="H11" s="17" t="s">
        <v>65</v>
      </c>
      <c r="I11" s="17">
        <v>111110002</v>
      </c>
      <c r="J11" s="17">
        <v>1</v>
      </c>
      <c r="K11" s="5">
        <v>0.05</v>
      </c>
      <c r="L11" s="17" t="s">
        <v>160</v>
      </c>
      <c r="M11" s="17">
        <v>11111105</v>
      </c>
      <c r="N11" s="17">
        <v>1</v>
      </c>
      <c r="O11" s="17">
        <v>0.45</v>
      </c>
      <c r="P11" s="2" t="str">
        <f t="shared" si="0"/>
        <v>{"typ":"item","id":11111156,"val":1}</v>
      </c>
      <c r="Q11" s="8" t="str">
        <f t="shared" si="1"/>
        <v>[{"typ":"item","id":11111156,"val":1}]</v>
      </c>
      <c r="R11" s="2" t="str">
        <f t="shared" si="2"/>
        <v>{"typ":"item","id":111110002,"val":1}</v>
      </c>
      <c r="S11" s="2" t="str">
        <f t="shared" si="3"/>
        <v>{"typ":"item","id":11111105,"val":1}</v>
      </c>
      <c r="T11" s="2" t="str">
        <f t="shared" si="4"/>
        <v>{"typ":"item","id":111110002,"val":1},{"typ":"item","id":11111105,"val":1}</v>
      </c>
      <c r="U11" s="8" t="str">
        <f t="shared" si="5"/>
        <v>[{"typ":"item","id":111110002,"val":1},{"typ":"item","id":11111105,"val":1}]</v>
      </c>
      <c r="V11" s="2"/>
      <c r="W11" s="2"/>
      <c r="X11" s="2"/>
      <c r="Y11" s="2"/>
      <c r="Z11" s="2"/>
    </row>
    <row r="12" customHeight="1" spans="1:26">
      <c r="A12" s="17">
        <v>3</v>
      </c>
      <c r="B12" s="17">
        <v>100</v>
      </c>
      <c r="C12" s="17">
        <v>300</v>
      </c>
      <c r="D12" s="17" t="s">
        <v>65</v>
      </c>
      <c r="E12" s="17">
        <v>111110002</v>
      </c>
      <c r="F12" s="17">
        <v>1</v>
      </c>
      <c r="G12" s="5">
        <v>0.05</v>
      </c>
      <c r="H12" s="17" t="s">
        <v>65</v>
      </c>
      <c r="I12" s="17">
        <v>111110002</v>
      </c>
      <c r="J12" s="17">
        <v>1</v>
      </c>
      <c r="K12" s="5">
        <v>0.05</v>
      </c>
      <c r="L12" s="17" t="s">
        <v>65</v>
      </c>
      <c r="M12" s="17">
        <v>111110002</v>
      </c>
      <c r="N12" s="17">
        <v>1</v>
      </c>
      <c r="O12" s="17">
        <v>0.05</v>
      </c>
      <c r="P12" s="2" t="str">
        <f t="shared" si="0"/>
        <v>{"typ":"item","id":111110002,"val":1}</v>
      </c>
      <c r="Q12" s="8" t="str">
        <f t="shared" si="1"/>
        <v>[{"typ":"item","id":111110002,"val":1}]</v>
      </c>
      <c r="R12" s="2" t="str">
        <f t="shared" si="2"/>
        <v>{"typ":"item","id":111110002,"val":1}</v>
      </c>
      <c r="S12" s="2" t="str">
        <f t="shared" si="3"/>
        <v>{"typ":"item","id":111110002,"val":1}</v>
      </c>
      <c r="T12" s="2" t="str">
        <f t="shared" si="4"/>
        <v>{"typ":"item","id":111110002,"val":1},{"typ":"item","id":111110002,"val":1}</v>
      </c>
      <c r="U12" s="8" t="str">
        <f t="shared" si="5"/>
        <v>[{"typ":"item","id":111110002,"val":1},{"typ":"item","id":111110002,"val":1}]</v>
      </c>
      <c r="V12" s="2"/>
      <c r="W12" s="2"/>
      <c r="X12" s="2"/>
      <c r="Y12" s="2"/>
      <c r="Z12" s="2"/>
    </row>
    <row r="13" customHeight="1" spans="1:26">
      <c r="A13" s="17">
        <v>4</v>
      </c>
      <c r="B13" s="17">
        <v>100</v>
      </c>
      <c r="C13" s="17">
        <v>400</v>
      </c>
      <c r="D13" s="17" t="s">
        <v>23</v>
      </c>
      <c r="E13" s="17">
        <v>11111156</v>
      </c>
      <c r="F13" s="17">
        <v>1</v>
      </c>
      <c r="G13" s="5">
        <v>0.45</v>
      </c>
      <c r="H13" s="17" t="s">
        <v>67</v>
      </c>
      <c r="I13" s="17">
        <v>111110003</v>
      </c>
      <c r="J13" s="17">
        <v>1</v>
      </c>
      <c r="K13" s="5">
        <v>0.1</v>
      </c>
      <c r="L13" s="17" t="s">
        <v>160</v>
      </c>
      <c r="M13" s="17">
        <v>11111105</v>
      </c>
      <c r="N13" s="17">
        <v>1</v>
      </c>
      <c r="O13" s="17">
        <v>0.45</v>
      </c>
      <c r="P13" s="2" t="str">
        <f t="shared" si="0"/>
        <v>{"typ":"item","id":11111156,"val":1}</v>
      </c>
      <c r="Q13" s="8" t="str">
        <f t="shared" si="1"/>
        <v>[{"typ":"item","id":11111156,"val":1}]</v>
      </c>
      <c r="R13" s="2" t="str">
        <f t="shared" si="2"/>
        <v>{"typ":"item","id":111110003,"val":1}</v>
      </c>
      <c r="S13" s="2" t="str">
        <f t="shared" si="3"/>
        <v>{"typ":"item","id":11111105,"val":1}</v>
      </c>
      <c r="T13" s="2" t="str">
        <f t="shared" si="4"/>
        <v>{"typ":"item","id":111110003,"val":1},{"typ":"item","id":11111105,"val":1}</v>
      </c>
      <c r="U13" s="8" t="str">
        <f t="shared" si="5"/>
        <v>[{"typ":"item","id":111110003,"val":1},{"typ":"item","id":11111105,"val":1}]</v>
      </c>
      <c r="V13" s="2"/>
      <c r="W13" s="2"/>
      <c r="X13" s="2"/>
      <c r="Y13" s="2"/>
      <c r="Z13" s="2"/>
    </row>
    <row r="14" customHeight="1" spans="1:26">
      <c r="A14" s="17">
        <v>5</v>
      </c>
      <c r="B14" s="17">
        <v>100</v>
      </c>
      <c r="C14" s="17">
        <v>500</v>
      </c>
      <c r="D14" s="17" t="s">
        <v>65</v>
      </c>
      <c r="E14" s="17">
        <v>111110002</v>
      </c>
      <c r="F14" s="17">
        <v>1</v>
      </c>
      <c r="G14" s="5">
        <v>0.05</v>
      </c>
      <c r="H14" s="17" t="s">
        <v>67</v>
      </c>
      <c r="I14" s="17">
        <v>111110003</v>
      </c>
      <c r="J14" s="17">
        <v>1</v>
      </c>
      <c r="K14" s="5">
        <v>0.1</v>
      </c>
      <c r="L14" s="17" t="s">
        <v>65</v>
      </c>
      <c r="M14" s="17">
        <v>111110002</v>
      </c>
      <c r="N14" s="17">
        <v>1</v>
      </c>
      <c r="O14" s="17">
        <v>0.05</v>
      </c>
      <c r="P14" s="2" t="str">
        <f t="shared" si="0"/>
        <v>{"typ":"item","id":111110002,"val":1}</v>
      </c>
      <c r="Q14" s="8" t="str">
        <f t="shared" si="1"/>
        <v>[{"typ":"item","id":111110002,"val":1}]</v>
      </c>
      <c r="R14" s="2" t="str">
        <f t="shared" si="2"/>
        <v>{"typ":"item","id":111110003,"val":1}</v>
      </c>
      <c r="S14" s="2" t="str">
        <f t="shared" si="3"/>
        <v>{"typ":"item","id":111110002,"val":1}</v>
      </c>
      <c r="T14" s="2" t="str">
        <f t="shared" si="4"/>
        <v>{"typ":"item","id":111110003,"val":1},{"typ":"item","id":111110002,"val":1}</v>
      </c>
      <c r="U14" s="8" t="str">
        <f t="shared" si="5"/>
        <v>[{"typ":"item","id":111110003,"val":1},{"typ":"item","id":111110002,"val":1}]</v>
      </c>
      <c r="V14" s="2"/>
      <c r="W14" s="2"/>
      <c r="X14" s="2"/>
      <c r="Y14" s="2"/>
      <c r="Z14" s="2"/>
    </row>
    <row r="15" customHeight="1" spans="1:26">
      <c r="A15" s="17">
        <v>6</v>
      </c>
      <c r="B15" s="17">
        <v>100</v>
      </c>
      <c r="C15" s="17">
        <v>600</v>
      </c>
      <c r="D15" s="17" t="s">
        <v>23</v>
      </c>
      <c r="E15" s="17">
        <v>11111156</v>
      </c>
      <c r="F15" s="17">
        <v>1</v>
      </c>
      <c r="G15" s="5">
        <v>0.45</v>
      </c>
      <c r="H15" s="17" t="s">
        <v>67</v>
      </c>
      <c r="I15" s="17">
        <v>111110003</v>
      </c>
      <c r="J15" s="17">
        <v>1</v>
      </c>
      <c r="K15" s="5">
        <v>0.1</v>
      </c>
      <c r="L15" s="17" t="s">
        <v>160</v>
      </c>
      <c r="M15" s="17">
        <v>11111105</v>
      </c>
      <c r="N15" s="17">
        <v>1</v>
      </c>
      <c r="O15" s="17">
        <v>0.45</v>
      </c>
      <c r="P15" s="2" t="str">
        <f t="shared" si="0"/>
        <v>{"typ":"item","id":11111156,"val":1}</v>
      </c>
      <c r="Q15" s="8" t="str">
        <f t="shared" si="1"/>
        <v>[{"typ":"item","id":11111156,"val":1}]</v>
      </c>
      <c r="R15" s="2" t="str">
        <f t="shared" si="2"/>
        <v>{"typ":"item","id":111110003,"val":1}</v>
      </c>
      <c r="S15" s="2" t="str">
        <f t="shared" si="3"/>
        <v>{"typ":"item","id":11111105,"val":1}</v>
      </c>
      <c r="T15" s="2" t="str">
        <f t="shared" si="4"/>
        <v>{"typ":"item","id":111110003,"val":1},{"typ":"item","id":11111105,"val":1}</v>
      </c>
      <c r="U15" s="8" t="str">
        <f t="shared" si="5"/>
        <v>[{"typ":"item","id":111110003,"val":1},{"typ":"item","id":11111105,"val":1}]</v>
      </c>
      <c r="V15" s="2"/>
      <c r="W15" s="2"/>
      <c r="X15" s="2"/>
      <c r="Y15" s="2"/>
      <c r="Z15" s="2"/>
    </row>
    <row r="16" customHeight="1" spans="1:26">
      <c r="A16" s="17">
        <v>7</v>
      </c>
      <c r="B16" s="17">
        <v>100</v>
      </c>
      <c r="C16" s="17">
        <v>700</v>
      </c>
      <c r="D16" s="17" t="s">
        <v>65</v>
      </c>
      <c r="E16" s="17">
        <v>111110002</v>
      </c>
      <c r="F16" s="17">
        <v>1</v>
      </c>
      <c r="G16" s="5">
        <v>0.05</v>
      </c>
      <c r="H16" s="17" t="s">
        <v>67</v>
      </c>
      <c r="I16" s="17">
        <v>111110003</v>
      </c>
      <c r="J16" s="17">
        <v>1</v>
      </c>
      <c r="K16" s="5">
        <v>0.1</v>
      </c>
      <c r="L16" s="17" t="s">
        <v>67</v>
      </c>
      <c r="M16" s="17">
        <v>111110003</v>
      </c>
      <c r="N16" s="17">
        <v>1</v>
      </c>
      <c r="O16" s="17">
        <v>0.1</v>
      </c>
      <c r="P16" s="2" t="str">
        <f t="shared" si="0"/>
        <v>{"typ":"item","id":111110002,"val":1}</v>
      </c>
      <c r="Q16" s="8" t="str">
        <f t="shared" si="1"/>
        <v>[{"typ":"item","id":111110002,"val":1}]</v>
      </c>
      <c r="R16" s="2" t="str">
        <f t="shared" si="2"/>
        <v>{"typ":"item","id":111110003,"val":1}</v>
      </c>
      <c r="S16" s="2" t="str">
        <f t="shared" si="3"/>
        <v>{"typ":"item","id":111110003,"val":1}</v>
      </c>
      <c r="T16" s="2" t="str">
        <f t="shared" si="4"/>
        <v>{"typ":"item","id":111110003,"val":1},{"typ":"item","id":111110003,"val":1}</v>
      </c>
      <c r="U16" s="8" t="str">
        <f t="shared" si="5"/>
        <v>[{"typ":"item","id":111110003,"val":1},{"typ":"item","id":111110003,"val":1}]</v>
      </c>
      <c r="V16" s="2"/>
      <c r="W16" s="2"/>
      <c r="X16" s="2"/>
      <c r="Y16" s="2"/>
      <c r="Z16" s="2"/>
    </row>
    <row r="17" customHeight="1" spans="1:26">
      <c r="A17" s="17">
        <v>8</v>
      </c>
      <c r="B17" s="17">
        <v>100</v>
      </c>
      <c r="C17" s="17">
        <v>800</v>
      </c>
      <c r="D17" s="17" t="s">
        <v>23</v>
      </c>
      <c r="E17" s="17">
        <v>11111156</v>
      </c>
      <c r="F17" s="17">
        <v>1</v>
      </c>
      <c r="G17" s="5">
        <v>0.45</v>
      </c>
      <c r="H17" s="17" t="s">
        <v>67</v>
      </c>
      <c r="I17" s="17">
        <v>111110003</v>
      </c>
      <c r="J17" s="17">
        <v>1</v>
      </c>
      <c r="K17" s="5">
        <v>0.1</v>
      </c>
      <c r="L17" s="17" t="s">
        <v>160</v>
      </c>
      <c r="M17" s="17">
        <v>11111105</v>
      </c>
      <c r="N17" s="17">
        <v>1</v>
      </c>
      <c r="O17" s="17">
        <v>0.45</v>
      </c>
      <c r="P17" s="2" t="str">
        <f t="shared" si="0"/>
        <v>{"typ":"item","id":11111156,"val":1}</v>
      </c>
      <c r="Q17" s="8" t="str">
        <f t="shared" si="1"/>
        <v>[{"typ":"item","id":11111156,"val":1}]</v>
      </c>
      <c r="R17" s="2" t="str">
        <f t="shared" si="2"/>
        <v>{"typ":"item","id":111110003,"val":1}</v>
      </c>
      <c r="S17" s="2" t="str">
        <f t="shared" si="3"/>
        <v>{"typ":"item","id":11111105,"val":1}</v>
      </c>
      <c r="T17" s="2" t="str">
        <f t="shared" si="4"/>
        <v>{"typ":"item","id":111110003,"val":1},{"typ":"item","id":11111105,"val":1}</v>
      </c>
      <c r="U17" s="8" t="str">
        <f t="shared" si="5"/>
        <v>[{"typ":"item","id":111110003,"val":1},{"typ":"item","id":11111105,"val":1}]</v>
      </c>
      <c r="V17" s="2"/>
      <c r="W17" s="2"/>
      <c r="X17" s="2"/>
      <c r="Y17" s="2"/>
      <c r="Z17" s="2"/>
    </row>
    <row r="18" customHeight="1" spans="1:26">
      <c r="A18" s="17">
        <v>9</v>
      </c>
      <c r="B18" s="17">
        <v>100</v>
      </c>
      <c r="C18" s="17">
        <v>900</v>
      </c>
      <c r="D18" s="17" t="s">
        <v>65</v>
      </c>
      <c r="E18" s="17">
        <v>111110002</v>
      </c>
      <c r="F18" s="17">
        <v>1</v>
      </c>
      <c r="G18" s="5">
        <v>0.05</v>
      </c>
      <c r="H18" s="17" t="s">
        <v>67</v>
      </c>
      <c r="I18" s="17">
        <v>111110003</v>
      </c>
      <c r="J18" s="17">
        <v>1</v>
      </c>
      <c r="K18" s="5">
        <v>0.1</v>
      </c>
      <c r="L18" s="17" t="s">
        <v>67</v>
      </c>
      <c r="M18" s="17">
        <v>111110003</v>
      </c>
      <c r="N18" s="17">
        <v>1</v>
      </c>
      <c r="O18" s="17">
        <v>0.1</v>
      </c>
      <c r="P18" s="2" t="str">
        <f t="shared" si="0"/>
        <v>{"typ":"item","id":111110002,"val":1}</v>
      </c>
      <c r="Q18" s="8" t="str">
        <f t="shared" si="1"/>
        <v>[{"typ":"item","id":111110002,"val":1}]</v>
      </c>
      <c r="R18" s="2" t="str">
        <f t="shared" si="2"/>
        <v>{"typ":"item","id":111110003,"val":1}</v>
      </c>
      <c r="S18" s="2" t="str">
        <f t="shared" si="3"/>
        <v>{"typ":"item","id":111110003,"val":1}</v>
      </c>
      <c r="T18" s="2" t="str">
        <f t="shared" si="4"/>
        <v>{"typ":"item","id":111110003,"val":1},{"typ":"item","id":111110003,"val":1}</v>
      </c>
      <c r="U18" s="8" t="str">
        <f t="shared" si="5"/>
        <v>[{"typ":"item","id":111110003,"val":1},{"typ":"item","id":111110003,"val":1}]</v>
      </c>
      <c r="V18" s="2"/>
      <c r="W18" s="2"/>
      <c r="X18" s="2"/>
      <c r="Y18" s="2"/>
      <c r="Z18" s="2"/>
    </row>
    <row r="19" customHeight="1" spans="1:26">
      <c r="A19" s="17">
        <v>10</v>
      </c>
      <c r="B19" s="17">
        <v>100</v>
      </c>
      <c r="C19" s="17">
        <v>1000</v>
      </c>
      <c r="D19" s="17" t="s">
        <v>23</v>
      </c>
      <c r="E19" s="17">
        <v>11111156</v>
      </c>
      <c r="F19" s="17">
        <v>1</v>
      </c>
      <c r="G19" s="5">
        <v>0.45</v>
      </c>
      <c r="H19" s="17" t="s">
        <v>67</v>
      </c>
      <c r="I19" s="17">
        <v>111110003</v>
      </c>
      <c r="J19" s="17">
        <v>1</v>
      </c>
      <c r="K19" s="5">
        <v>0.1</v>
      </c>
      <c r="L19" s="17" t="s">
        <v>160</v>
      </c>
      <c r="M19" s="17">
        <v>11111105</v>
      </c>
      <c r="N19" s="17">
        <v>1</v>
      </c>
      <c r="O19" s="17">
        <v>0.45</v>
      </c>
      <c r="P19" s="2" t="str">
        <f t="shared" si="0"/>
        <v>{"typ":"item","id":11111156,"val":1}</v>
      </c>
      <c r="Q19" s="8" t="str">
        <f t="shared" si="1"/>
        <v>[{"typ":"item","id":11111156,"val":1}]</v>
      </c>
      <c r="R19" s="2" t="str">
        <f t="shared" si="2"/>
        <v>{"typ":"item","id":111110003,"val":1}</v>
      </c>
      <c r="S19" s="2" t="str">
        <f t="shared" si="3"/>
        <v>{"typ":"item","id":11111105,"val":1}</v>
      </c>
      <c r="T19" s="2" t="str">
        <f t="shared" si="4"/>
        <v>{"typ":"item","id":111110003,"val":1},{"typ":"item","id":11111105,"val":1}</v>
      </c>
      <c r="U19" s="8" t="str">
        <f t="shared" si="5"/>
        <v>[{"typ":"item","id":111110003,"val":1},{"typ":"item","id":11111105,"val":1}]</v>
      </c>
      <c r="V19" s="2"/>
      <c r="W19" s="2"/>
      <c r="X19" s="2"/>
      <c r="Y19" s="2"/>
      <c r="Z19" s="2"/>
    </row>
    <row r="20" customHeight="1" spans="1:26">
      <c r="A20" s="17">
        <v>11</v>
      </c>
      <c r="B20" s="17">
        <v>100</v>
      </c>
      <c r="C20" s="17">
        <v>1100</v>
      </c>
      <c r="D20" s="17" t="s">
        <v>67</v>
      </c>
      <c r="E20" s="17">
        <v>111110003</v>
      </c>
      <c r="F20" s="17">
        <v>1</v>
      </c>
      <c r="G20" s="5">
        <v>0.1</v>
      </c>
      <c r="H20" s="17" t="s">
        <v>67</v>
      </c>
      <c r="I20" s="17">
        <v>111110003</v>
      </c>
      <c r="J20" s="17">
        <v>1</v>
      </c>
      <c r="K20" s="5">
        <v>0.1</v>
      </c>
      <c r="L20" s="17" t="s">
        <v>70</v>
      </c>
      <c r="M20" s="17">
        <v>111110004</v>
      </c>
      <c r="N20" s="17">
        <v>1</v>
      </c>
      <c r="O20" s="17">
        <v>0.5</v>
      </c>
      <c r="P20" s="2" t="str">
        <f t="shared" si="0"/>
        <v>{"typ":"item","id":111110003,"val":1}</v>
      </c>
      <c r="Q20" s="8" t="str">
        <f t="shared" si="1"/>
        <v>[{"typ":"item","id":111110003,"val":1}]</v>
      </c>
      <c r="R20" s="2" t="str">
        <f t="shared" si="2"/>
        <v>{"typ":"item","id":111110003,"val":1}</v>
      </c>
      <c r="S20" s="2" t="str">
        <f t="shared" si="3"/>
        <v>{"typ":"item","id":111110004,"val":1}</v>
      </c>
      <c r="T20" s="2" t="str">
        <f t="shared" si="4"/>
        <v>{"typ":"item","id":111110003,"val":1},{"typ":"item","id":111110004,"val":1}</v>
      </c>
      <c r="U20" s="8" t="str">
        <f t="shared" si="5"/>
        <v>[{"typ":"item","id":111110003,"val":1},{"typ":"item","id":111110004,"val":1}]</v>
      </c>
      <c r="V20" s="2"/>
      <c r="W20" s="2"/>
      <c r="X20" s="2"/>
      <c r="Y20" s="2"/>
      <c r="Z20" s="2"/>
    </row>
    <row r="21" customHeight="1" spans="1:26">
      <c r="A21" s="17">
        <v>12</v>
      </c>
      <c r="B21" s="17">
        <v>100</v>
      </c>
      <c r="C21" s="17">
        <v>1200</v>
      </c>
      <c r="D21" s="17" t="s">
        <v>23</v>
      </c>
      <c r="E21" s="17">
        <v>11111156</v>
      </c>
      <c r="F21" s="17">
        <v>1</v>
      </c>
      <c r="G21" s="5">
        <v>0.45</v>
      </c>
      <c r="H21" s="17" t="s">
        <v>67</v>
      </c>
      <c r="I21" s="17">
        <v>111110003</v>
      </c>
      <c r="J21" s="17">
        <v>1</v>
      </c>
      <c r="K21" s="5">
        <v>0.1</v>
      </c>
      <c r="L21" s="17" t="s">
        <v>160</v>
      </c>
      <c r="M21" s="17">
        <v>11111105</v>
      </c>
      <c r="N21" s="17">
        <v>1</v>
      </c>
      <c r="O21" s="17">
        <v>0.45</v>
      </c>
      <c r="P21" s="2" t="str">
        <f t="shared" si="0"/>
        <v>{"typ":"item","id":11111156,"val":1}</v>
      </c>
      <c r="Q21" s="8" t="str">
        <f t="shared" si="1"/>
        <v>[{"typ":"item","id":11111156,"val":1}]</v>
      </c>
      <c r="R21" s="2" t="str">
        <f t="shared" si="2"/>
        <v>{"typ":"item","id":111110003,"val":1}</v>
      </c>
      <c r="S21" s="2" t="str">
        <f t="shared" si="3"/>
        <v>{"typ":"item","id":11111105,"val":1}</v>
      </c>
      <c r="T21" s="2" t="str">
        <f t="shared" si="4"/>
        <v>{"typ":"item","id":111110003,"val":1},{"typ":"item","id":11111105,"val":1}</v>
      </c>
      <c r="U21" s="8" t="str">
        <f t="shared" si="5"/>
        <v>[{"typ":"item","id":111110003,"val":1},{"typ":"item","id":11111105,"val":1}]</v>
      </c>
      <c r="V21" s="2"/>
      <c r="W21" s="2"/>
      <c r="X21" s="2"/>
      <c r="Y21" s="2"/>
      <c r="Z21" s="2"/>
    </row>
    <row r="22" customHeight="1" spans="1:26">
      <c r="A22" s="17">
        <v>13</v>
      </c>
      <c r="B22" s="17">
        <v>100</v>
      </c>
      <c r="C22" s="17">
        <v>1300</v>
      </c>
      <c r="D22" s="17" t="s">
        <v>67</v>
      </c>
      <c r="E22" s="17">
        <v>111110003</v>
      </c>
      <c r="F22" s="17">
        <v>1</v>
      </c>
      <c r="G22" s="5">
        <v>0.1</v>
      </c>
      <c r="H22" s="17" t="s">
        <v>67</v>
      </c>
      <c r="I22" s="17">
        <v>111110003</v>
      </c>
      <c r="J22" s="17">
        <v>1</v>
      </c>
      <c r="K22" s="5">
        <v>0.1</v>
      </c>
      <c r="L22" s="17" t="s">
        <v>70</v>
      </c>
      <c r="M22" s="17">
        <v>111110004</v>
      </c>
      <c r="N22" s="17">
        <v>1</v>
      </c>
      <c r="O22" s="17">
        <v>0.5</v>
      </c>
      <c r="P22" s="2" t="str">
        <f t="shared" si="0"/>
        <v>{"typ":"item","id":111110003,"val":1}</v>
      </c>
      <c r="Q22" s="8" t="str">
        <f t="shared" si="1"/>
        <v>[{"typ":"item","id":111110003,"val":1}]</v>
      </c>
      <c r="R22" s="2" t="str">
        <f t="shared" si="2"/>
        <v>{"typ":"item","id":111110003,"val":1}</v>
      </c>
      <c r="S22" s="2" t="str">
        <f t="shared" si="3"/>
        <v>{"typ":"item","id":111110004,"val":1}</v>
      </c>
      <c r="T22" s="2" t="str">
        <f t="shared" si="4"/>
        <v>{"typ":"item","id":111110003,"val":1},{"typ":"item","id":111110004,"val":1}</v>
      </c>
      <c r="U22" s="8" t="str">
        <f t="shared" si="5"/>
        <v>[{"typ":"item","id":111110003,"val":1},{"typ":"item","id":111110004,"val":1}]</v>
      </c>
      <c r="V22" s="2"/>
      <c r="W22" s="2"/>
      <c r="X22" s="2"/>
      <c r="Y22" s="2"/>
      <c r="Z22" s="2"/>
    </row>
    <row r="23" customHeight="1" spans="1:26">
      <c r="A23" s="17">
        <v>14</v>
      </c>
      <c r="B23" s="17">
        <v>100</v>
      </c>
      <c r="C23" s="17">
        <v>1400</v>
      </c>
      <c r="D23" s="17" t="s">
        <v>23</v>
      </c>
      <c r="E23" s="17">
        <v>11111156</v>
      </c>
      <c r="F23" s="17">
        <v>1</v>
      </c>
      <c r="G23" s="5">
        <v>0.45</v>
      </c>
      <c r="H23" s="17" t="s">
        <v>70</v>
      </c>
      <c r="I23" s="17">
        <v>111110004</v>
      </c>
      <c r="J23" s="17">
        <v>1</v>
      </c>
      <c r="K23" s="5">
        <v>0.5</v>
      </c>
      <c r="L23" s="17" t="s">
        <v>160</v>
      </c>
      <c r="M23" s="17">
        <v>11111105</v>
      </c>
      <c r="N23" s="17">
        <v>1</v>
      </c>
      <c r="O23" s="17">
        <v>0.45</v>
      </c>
      <c r="P23" s="2" t="str">
        <f t="shared" si="0"/>
        <v>{"typ":"item","id":11111156,"val":1}</v>
      </c>
      <c r="Q23" s="8" t="str">
        <f t="shared" si="1"/>
        <v>[{"typ":"item","id":11111156,"val":1}]</v>
      </c>
      <c r="R23" s="2" t="str">
        <f t="shared" si="2"/>
        <v>{"typ":"item","id":111110004,"val":1}</v>
      </c>
      <c r="S23" s="2" t="str">
        <f t="shared" si="3"/>
        <v>{"typ":"item","id":11111105,"val":1}</v>
      </c>
      <c r="T23" s="2" t="str">
        <f t="shared" si="4"/>
        <v>{"typ":"item","id":111110004,"val":1},{"typ":"item","id":11111105,"val":1}</v>
      </c>
      <c r="U23" s="8" t="str">
        <f t="shared" si="5"/>
        <v>[{"typ":"item","id":111110004,"val":1},{"typ":"item","id":11111105,"val":1}]</v>
      </c>
      <c r="V23" s="2"/>
      <c r="W23" s="2"/>
      <c r="X23" s="2"/>
      <c r="Y23" s="2"/>
      <c r="Z23" s="2"/>
    </row>
    <row r="24" customHeight="1" spans="1:26">
      <c r="A24" s="17">
        <v>15</v>
      </c>
      <c r="B24" s="17">
        <v>100</v>
      </c>
      <c r="C24" s="17">
        <v>1500</v>
      </c>
      <c r="D24" s="17" t="s">
        <v>67</v>
      </c>
      <c r="E24" s="17">
        <v>111110003</v>
      </c>
      <c r="F24" s="17">
        <v>1</v>
      </c>
      <c r="G24" s="5">
        <v>0.1</v>
      </c>
      <c r="H24" s="17" t="s">
        <v>70</v>
      </c>
      <c r="I24" s="17">
        <v>111110004</v>
      </c>
      <c r="J24" s="17">
        <v>1</v>
      </c>
      <c r="K24" s="5">
        <v>0.5</v>
      </c>
      <c r="L24" s="17" t="s">
        <v>70</v>
      </c>
      <c r="M24" s="17">
        <v>111110004</v>
      </c>
      <c r="N24" s="17">
        <v>1</v>
      </c>
      <c r="O24" s="17">
        <v>0.5</v>
      </c>
      <c r="P24" s="2" t="str">
        <f t="shared" si="0"/>
        <v>{"typ":"item","id":111110003,"val":1}</v>
      </c>
      <c r="Q24" s="8" t="str">
        <f t="shared" si="1"/>
        <v>[{"typ":"item","id":111110003,"val":1}]</v>
      </c>
      <c r="R24" s="2" t="str">
        <f t="shared" si="2"/>
        <v>{"typ":"item","id":111110004,"val":1}</v>
      </c>
      <c r="S24" s="2" t="str">
        <f t="shared" si="3"/>
        <v>{"typ":"item","id":111110004,"val":1}</v>
      </c>
      <c r="T24" s="2" t="str">
        <f t="shared" si="4"/>
        <v>{"typ":"item","id":111110004,"val":1},{"typ":"item","id":111110004,"val":1}</v>
      </c>
      <c r="U24" s="8" t="str">
        <f t="shared" si="5"/>
        <v>[{"typ":"item","id":111110004,"val":1},{"typ":"item","id":111110004,"val":1}]</v>
      </c>
      <c r="V24" s="2"/>
      <c r="W24" s="2"/>
      <c r="X24" s="2"/>
      <c r="Y24" s="2"/>
      <c r="Z24" s="2"/>
    </row>
    <row r="25" customHeight="1" spans="1:26">
      <c r="A25" s="17">
        <v>16</v>
      </c>
      <c r="B25" s="17">
        <v>100</v>
      </c>
      <c r="C25" s="17">
        <v>1600</v>
      </c>
      <c r="D25" s="17" t="s">
        <v>23</v>
      </c>
      <c r="E25" s="17">
        <v>11111156</v>
      </c>
      <c r="F25" s="17">
        <v>1</v>
      </c>
      <c r="G25" s="5">
        <v>0.45</v>
      </c>
      <c r="H25" s="17" t="s">
        <v>70</v>
      </c>
      <c r="I25" s="17">
        <v>111110004</v>
      </c>
      <c r="J25" s="17">
        <v>1</v>
      </c>
      <c r="K25" s="5">
        <v>0.5</v>
      </c>
      <c r="L25" s="17" t="s">
        <v>160</v>
      </c>
      <c r="M25" s="17">
        <v>11111105</v>
      </c>
      <c r="N25" s="17">
        <v>1</v>
      </c>
      <c r="O25" s="17">
        <v>0.45</v>
      </c>
      <c r="P25" s="2" t="str">
        <f t="shared" si="0"/>
        <v>{"typ":"item","id":11111156,"val":1}</v>
      </c>
      <c r="Q25" s="8" t="str">
        <f t="shared" si="1"/>
        <v>[{"typ":"item","id":11111156,"val":1}]</v>
      </c>
      <c r="R25" s="2" t="str">
        <f t="shared" si="2"/>
        <v>{"typ":"item","id":111110004,"val":1}</v>
      </c>
      <c r="S25" s="2" t="str">
        <f t="shared" si="3"/>
        <v>{"typ":"item","id":11111105,"val":1}</v>
      </c>
      <c r="T25" s="2" t="str">
        <f t="shared" si="4"/>
        <v>{"typ":"item","id":111110004,"val":1},{"typ":"item","id":11111105,"val":1}</v>
      </c>
      <c r="U25" s="8" t="str">
        <f t="shared" si="5"/>
        <v>[{"typ":"item","id":111110004,"val":1},{"typ":"item","id":11111105,"val":1}]</v>
      </c>
      <c r="V25" s="2"/>
      <c r="W25" s="2"/>
      <c r="X25" s="2"/>
      <c r="Y25" s="2"/>
      <c r="Z25" s="2"/>
    </row>
    <row r="26" customHeight="1" spans="1:26">
      <c r="A26" s="17">
        <v>17</v>
      </c>
      <c r="B26" s="17">
        <v>100</v>
      </c>
      <c r="C26" s="17">
        <v>1700</v>
      </c>
      <c r="D26" s="17" t="s">
        <v>67</v>
      </c>
      <c r="E26" s="17">
        <v>111110003</v>
      </c>
      <c r="F26" s="17">
        <v>1</v>
      </c>
      <c r="G26" s="5">
        <v>0.1</v>
      </c>
      <c r="H26" s="17" t="s">
        <v>73</v>
      </c>
      <c r="I26" s="17">
        <v>111110005</v>
      </c>
      <c r="J26" s="17">
        <v>1</v>
      </c>
      <c r="K26" s="5">
        <v>1.5</v>
      </c>
      <c r="L26" s="17" t="s">
        <v>70</v>
      </c>
      <c r="M26" s="17">
        <v>111110004</v>
      </c>
      <c r="N26" s="17">
        <v>1</v>
      </c>
      <c r="O26" s="17">
        <v>0.5</v>
      </c>
      <c r="P26" s="2" t="str">
        <f t="shared" si="0"/>
        <v>{"typ":"item","id":111110003,"val":1}</v>
      </c>
      <c r="Q26" s="8" t="str">
        <f t="shared" si="1"/>
        <v>[{"typ":"item","id":111110003,"val":1}]</v>
      </c>
      <c r="R26" s="2" t="str">
        <f t="shared" si="2"/>
        <v>{"typ":"item","id":111110005,"val":1}</v>
      </c>
      <c r="S26" s="2" t="str">
        <f t="shared" si="3"/>
        <v>{"typ":"item","id":111110004,"val":1}</v>
      </c>
      <c r="T26" s="2" t="str">
        <f t="shared" si="4"/>
        <v>{"typ":"item","id":111110005,"val":1},{"typ":"item","id":111110004,"val":1}</v>
      </c>
      <c r="U26" s="8" t="str">
        <f t="shared" si="5"/>
        <v>[{"typ":"item","id":111110005,"val":1},{"typ":"item","id":111110004,"val":1}]</v>
      </c>
      <c r="V26" s="2"/>
      <c r="W26" s="2"/>
      <c r="X26" s="2"/>
      <c r="Y26" s="2"/>
      <c r="Z26" s="2"/>
    </row>
    <row r="27" customHeight="1" spans="1:26">
      <c r="A27" s="17">
        <v>18</v>
      </c>
      <c r="B27" s="17">
        <v>100</v>
      </c>
      <c r="C27" s="17">
        <v>1800</v>
      </c>
      <c r="D27" s="17" t="s">
        <v>23</v>
      </c>
      <c r="E27" s="17">
        <v>11111156</v>
      </c>
      <c r="F27" s="17">
        <v>1</v>
      </c>
      <c r="G27" s="5">
        <v>0.45</v>
      </c>
      <c r="H27" s="17" t="s">
        <v>73</v>
      </c>
      <c r="I27" s="17">
        <v>111110005</v>
      </c>
      <c r="J27" s="17">
        <v>1</v>
      </c>
      <c r="K27" s="5">
        <v>1.5</v>
      </c>
      <c r="L27" s="17" t="s">
        <v>160</v>
      </c>
      <c r="M27" s="17">
        <v>11111105</v>
      </c>
      <c r="N27" s="17">
        <v>1</v>
      </c>
      <c r="O27" s="17">
        <v>0.45</v>
      </c>
      <c r="P27" s="2" t="str">
        <f t="shared" si="0"/>
        <v>{"typ":"item","id":11111156,"val":1}</v>
      </c>
      <c r="Q27" s="8" t="str">
        <f t="shared" si="1"/>
        <v>[{"typ":"item","id":11111156,"val":1}]</v>
      </c>
      <c r="R27" s="2" t="str">
        <f t="shared" si="2"/>
        <v>{"typ":"item","id":111110005,"val":1}</v>
      </c>
      <c r="S27" s="2" t="str">
        <f t="shared" si="3"/>
        <v>{"typ":"item","id":11111105,"val":1}</v>
      </c>
      <c r="T27" s="2" t="str">
        <f t="shared" si="4"/>
        <v>{"typ":"item","id":111110005,"val":1},{"typ":"item","id":11111105,"val":1}</v>
      </c>
      <c r="U27" s="8" t="str">
        <f t="shared" si="5"/>
        <v>[{"typ":"item","id":111110005,"val":1},{"typ":"item","id":11111105,"val":1}]</v>
      </c>
      <c r="V27" s="2"/>
      <c r="W27" s="2"/>
      <c r="X27" s="2"/>
      <c r="Y27" s="2"/>
      <c r="Z27" s="2"/>
    </row>
    <row r="28" customHeight="1" spans="1:26">
      <c r="A28" s="17">
        <v>19</v>
      </c>
      <c r="B28" s="17">
        <v>100</v>
      </c>
      <c r="C28" s="17">
        <v>1900</v>
      </c>
      <c r="D28" s="17" t="s">
        <v>70</v>
      </c>
      <c r="E28" s="17">
        <v>111110004</v>
      </c>
      <c r="F28" s="17">
        <v>1</v>
      </c>
      <c r="G28" s="5">
        <v>0.5</v>
      </c>
      <c r="H28" s="17" t="s">
        <v>161</v>
      </c>
      <c r="I28" s="17">
        <v>111110006</v>
      </c>
      <c r="J28" s="17">
        <v>1</v>
      </c>
      <c r="K28" s="5">
        <v>5</v>
      </c>
      <c r="L28" s="17" t="s">
        <v>70</v>
      </c>
      <c r="M28" s="17">
        <v>111110004</v>
      </c>
      <c r="N28" s="17">
        <v>1</v>
      </c>
      <c r="O28" s="17">
        <v>0.5</v>
      </c>
      <c r="P28" s="2" t="str">
        <f t="shared" si="0"/>
        <v>{"typ":"item","id":111110004,"val":1}</v>
      </c>
      <c r="Q28" s="8" t="str">
        <f t="shared" si="1"/>
        <v>[{"typ":"item","id":111110004,"val":1}]</v>
      </c>
      <c r="R28" s="2" t="str">
        <f t="shared" si="2"/>
        <v>{"typ":"item","id":111110006,"val":1}</v>
      </c>
      <c r="S28" s="2" t="str">
        <f t="shared" si="3"/>
        <v>{"typ":"item","id":111110004,"val":1}</v>
      </c>
      <c r="T28" s="2" t="str">
        <f t="shared" si="4"/>
        <v>{"typ":"item","id":111110006,"val":1},{"typ":"item","id":111110004,"val":1}</v>
      </c>
      <c r="U28" s="8" t="str">
        <f t="shared" si="5"/>
        <v>[{"typ":"item","id":111110006,"val":1},{"typ":"item","id":111110004,"val":1}]</v>
      </c>
      <c r="V28" s="2"/>
      <c r="W28" s="2"/>
      <c r="X28" s="2"/>
      <c r="Y28" s="2"/>
      <c r="Z28" s="2"/>
    </row>
    <row r="29" customHeight="1" spans="1:26">
      <c r="A29" s="17">
        <v>20</v>
      </c>
      <c r="B29" s="17">
        <v>100</v>
      </c>
      <c r="C29" s="17">
        <v>2000</v>
      </c>
      <c r="D29" s="17" t="s">
        <v>23</v>
      </c>
      <c r="E29" s="17">
        <v>11111156</v>
      </c>
      <c r="F29" s="17">
        <v>1</v>
      </c>
      <c r="G29" s="5">
        <v>0.45</v>
      </c>
      <c r="H29" s="17" t="s">
        <v>161</v>
      </c>
      <c r="I29" s="17">
        <v>111110006</v>
      </c>
      <c r="J29" s="17">
        <v>1</v>
      </c>
      <c r="K29" s="5">
        <v>5</v>
      </c>
      <c r="L29" s="17" t="s">
        <v>160</v>
      </c>
      <c r="M29" s="17">
        <v>11111105</v>
      </c>
      <c r="N29" s="17">
        <v>1</v>
      </c>
      <c r="O29" s="17">
        <v>0.45</v>
      </c>
      <c r="P29" s="2" t="str">
        <f t="shared" si="0"/>
        <v>{"typ":"item","id":11111156,"val":1}</v>
      </c>
      <c r="Q29" s="8" t="str">
        <f t="shared" si="1"/>
        <v>[{"typ":"item","id":11111156,"val":1}]</v>
      </c>
      <c r="R29" s="2" t="str">
        <f t="shared" si="2"/>
        <v>{"typ":"item","id":111110006,"val":1}</v>
      </c>
      <c r="S29" s="2" t="str">
        <f t="shared" si="3"/>
        <v>{"typ":"item","id":11111105,"val":1}</v>
      </c>
      <c r="T29" s="2" t="str">
        <f t="shared" si="4"/>
        <v>{"typ":"item","id":111110006,"val":1},{"typ":"item","id":11111105,"val":1}</v>
      </c>
      <c r="U29" s="8" t="str">
        <f t="shared" si="5"/>
        <v>[{"typ":"item","id":111110006,"val":1},{"typ":"item","id":11111105,"val":1}]</v>
      </c>
      <c r="V29" s="2"/>
      <c r="W29" s="2"/>
      <c r="X29" s="2"/>
      <c r="Y29" s="2"/>
      <c r="Z29" s="2"/>
    </row>
    <row r="30" customHeight="1" spans="1:26">
      <c r="A30" s="2"/>
      <c r="B30" s="2"/>
      <c r="C30" s="2"/>
      <c r="D30" s="2"/>
      <c r="F30" s="2"/>
      <c r="G30" s="14">
        <f>SUM(G10:G29)</f>
        <v>5.65</v>
      </c>
      <c r="H30" s="2"/>
      <c r="J30" s="2"/>
      <c r="K30" s="14">
        <f>SUM(K10:K29)</f>
        <v>15.65</v>
      </c>
      <c r="N30" s="2"/>
      <c r="O30" s="14">
        <f>SUM(O10:O29)</f>
        <v>7.35</v>
      </c>
      <c r="P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H31" s="2"/>
      <c r="J31" s="2"/>
      <c r="K31" s="14">
        <f>K30+O30</f>
        <v>23</v>
      </c>
      <c r="N31" s="2"/>
      <c r="O31" s="2"/>
      <c r="P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1">
        <v>111110002</v>
      </c>
      <c r="B32" s="1" t="s">
        <v>66</v>
      </c>
      <c r="H32" s="2"/>
      <c r="I32" s="2"/>
      <c r="J32" s="2"/>
      <c r="L32" s="2"/>
      <c r="M32" s="2"/>
      <c r="N32" s="2"/>
      <c r="O32" s="2"/>
      <c r="P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1">
        <v>111110003</v>
      </c>
      <c r="B33" s="1" t="s">
        <v>69</v>
      </c>
      <c r="H33" s="2"/>
      <c r="I33" s="2"/>
      <c r="J33" s="2"/>
      <c r="L33" s="2"/>
      <c r="M33" s="2"/>
      <c r="N33" s="2"/>
      <c r="O33" s="2"/>
      <c r="P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1">
        <v>111110004</v>
      </c>
      <c r="B34" s="1" t="s">
        <v>72</v>
      </c>
      <c r="H34" s="2"/>
      <c r="I34" s="2"/>
      <c r="J34" s="2"/>
      <c r="L34" s="2"/>
      <c r="M34" s="2"/>
      <c r="N34" s="2"/>
      <c r="O34" s="2"/>
      <c r="P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1">
        <v>111110005</v>
      </c>
      <c r="B35" s="1" t="s">
        <v>75</v>
      </c>
      <c r="H35" s="2"/>
      <c r="I35" s="2"/>
      <c r="J35" s="2"/>
      <c r="L35" s="2"/>
      <c r="M35" s="2"/>
      <c r="N35" s="2"/>
      <c r="O35" s="2"/>
      <c r="P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1">
        <v>111110006</v>
      </c>
      <c r="B36" s="1" t="s">
        <v>77</v>
      </c>
      <c r="H36" s="2"/>
      <c r="I36" s="2"/>
      <c r="J36" s="2"/>
      <c r="L36" s="2"/>
      <c r="M36" s="2"/>
      <c r="N36" s="2"/>
      <c r="O36" s="2"/>
      <c r="P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1">
        <v>111110007</v>
      </c>
      <c r="B37" s="1" t="s">
        <v>162</v>
      </c>
      <c r="H37" s="2"/>
      <c r="I37" s="2"/>
      <c r="J37" s="2"/>
      <c r="L37" s="2"/>
      <c r="M37" s="2"/>
      <c r="N37" s="2"/>
      <c r="O37" s="2"/>
      <c r="P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H38" s="2"/>
      <c r="I38" s="2"/>
      <c r="J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 t="s">
        <v>163</v>
      </c>
      <c r="B39" s="2"/>
      <c r="C39" s="2"/>
      <c r="D39" s="2"/>
      <c r="E39" s="2"/>
      <c r="F39" s="2"/>
      <c r="G39" s="2"/>
      <c r="H39" s="2"/>
      <c r="I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40" t="s">
        <v>164</v>
      </c>
      <c r="B40" s="40" t="s">
        <v>165</v>
      </c>
      <c r="C40" s="40" t="s">
        <v>166</v>
      </c>
      <c r="D40" s="40" t="s">
        <v>167</v>
      </c>
      <c r="E40" s="40" t="s">
        <v>168</v>
      </c>
      <c r="F40" s="2"/>
      <c r="G40" s="2"/>
      <c r="H40" s="2"/>
      <c r="I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40" t="s">
        <v>169</v>
      </c>
      <c r="B41" s="41">
        <v>1</v>
      </c>
      <c r="C41" s="41">
        <v>0</v>
      </c>
      <c r="D41" s="42">
        <v>0</v>
      </c>
      <c r="E41" s="41">
        <v>10</v>
      </c>
      <c r="F41" s="2"/>
      <c r="G41" s="2"/>
      <c r="H41" s="2"/>
      <c r="I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40" t="s">
        <v>170</v>
      </c>
      <c r="B42" s="41">
        <v>10</v>
      </c>
      <c r="C42" s="41">
        <v>16</v>
      </c>
      <c r="D42" s="42">
        <v>160</v>
      </c>
      <c r="E42" s="41">
        <v>10</v>
      </c>
      <c r="F42" s="2"/>
      <c r="G42" s="2"/>
      <c r="H42" s="2"/>
      <c r="I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40" t="s">
        <v>171</v>
      </c>
      <c r="B43" s="41">
        <v>3</v>
      </c>
      <c r="C43" s="41">
        <v>56</v>
      </c>
      <c r="D43" s="42">
        <v>168</v>
      </c>
      <c r="E43" s="41">
        <v>10</v>
      </c>
      <c r="F43" s="2"/>
      <c r="G43" s="2"/>
      <c r="H43" s="2"/>
      <c r="I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40" t="s">
        <v>172</v>
      </c>
      <c r="B44" s="41">
        <v>5</v>
      </c>
      <c r="C44" s="41">
        <v>0</v>
      </c>
      <c r="D44" s="42">
        <v>0</v>
      </c>
      <c r="E44" s="41">
        <v>20</v>
      </c>
      <c r="F44" s="2"/>
      <c r="G44" s="2"/>
      <c r="H44" s="2"/>
      <c r="I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40" t="s">
        <v>173</v>
      </c>
      <c r="B45" s="41">
        <v>240</v>
      </c>
      <c r="C45" s="41">
        <v>1.67</v>
      </c>
      <c r="D45" s="42">
        <v>401</v>
      </c>
      <c r="E45" s="41">
        <v>20</v>
      </c>
      <c r="F45" s="2"/>
      <c r="G45" s="2"/>
      <c r="H45" s="2"/>
      <c r="I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40" t="s">
        <v>173</v>
      </c>
      <c r="B46" s="41">
        <v>600</v>
      </c>
      <c r="C46" s="41">
        <v>1.67</v>
      </c>
      <c r="D46" s="42">
        <v>601</v>
      </c>
      <c r="E46" s="41">
        <v>30</v>
      </c>
      <c r="F46" s="2"/>
      <c r="G46" s="2"/>
      <c r="H46" s="2"/>
      <c r="I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40" t="s">
        <v>174</v>
      </c>
      <c r="B47" s="41">
        <v>3</v>
      </c>
      <c r="C47" s="41">
        <v>50</v>
      </c>
      <c r="D47" s="42">
        <v>50</v>
      </c>
      <c r="E47" s="41">
        <v>20</v>
      </c>
      <c r="F47" s="2"/>
      <c r="G47" s="2"/>
      <c r="H47" s="2"/>
      <c r="I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40" t="s">
        <v>174</v>
      </c>
      <c r="B48" s="41">
        <v>5</v>
      </c>
      <c r="C48" s="41">
        <v>50</v>
      </c>
      <c r="D48" s="42">
        <v>250</v>
      </c>
      <c r="E48" s="41">
        <v>30</v>
      </c>
      <c r="F48" s="2"/>
      <c r="G48" s="2"/>
      <c r="H48" s="2"/>
      <c r="I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40" t="s">
        <v>174</v>
      </c>
      <c r="B49" s="41">
        <v>10</v>
      </c>
      <c r="C49" s="41">
        <v>150</v>
      </c>
      <c r="D49" s="42">
        <v>1500</v>
      </c>
      <c r="E49" s="41">
        <v>50</v>
      </c>
      <c r="F49" s="2"/>
      <c r="G49" s="2"/>
      <c r="H49" s="2"/>
      <c r="I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40" t="s">
        <v>174</v>
      </c>
      <c r="B50" s="41">
        <v>20</v>
      </c>
      <c r="C50" s="41">
        <v>150</v>
      </c>
      <c r="D50" s="42">
        <v>3000</v>
      </c>
      <c r="E50" s="41">
        <v>80</v>
      </c>
      <c r="F50" s="2"/>
      <c r="G50" s="2"/>
      <c r="H50" s="2"/>
      <c r="I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42">
        <f>SUM(E40:E50)</f>
        <v>280</v>
      </c>
      <c r="F51" s="2"/>
      <c r="G51" s="2"/>
      <c r="H51" s="2"/>
      <c r="I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87"/>
  <sheetViews>
    <sheetView workbookViewId="0">
      <selection activeCell="A1" sqref="A1"/>
    </sheetView>
  </sheetViews>
  <sheetFormatPr defaultColWidth="12.6285714285714" defaultRowHeight="15.75" customHeight="1"/>
  <cols>
    <col min="1" max="1" width="25.1333333333333" customWidth="1"/>
    <col min="6" max="6" width="17.3809523809524" customWidth="1"/>
    <col min="7" max="7" width="27.247619047619" customWidth="1"/>
  </cols>
  <sheetData>
    <row r="1" customHeight="1" spans="1:26">
      <c r="A1" s="3" t="s">
        <v>175</v>
      </c>
      <c r="B1" s="3"/>
      <c r="C1" s="9"/>
      <c r="D1" s="9"/>
      <c r="E1" s="9"/>
      <c r="F1" s="9"/>
      <c r="G1" s="10"/>
      <c r="H1" s="11"/>
      <c r="I1" s="11"/>
      <c r="J1" s="10"/>
      <c r="K1" s="10"/>
      <c r="L1" s="10"/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Height="1" spans="1:26">
      <c r="A2" s="1" t="s">
        <v>176</v>
      </c>
      <c r="B2" s="12" t="s">
        <v>177</v>
      </c>
      <c r="G2" s="13"/>
      <c r="H2" s="14"/>
      <c r="I2" s="14"/>
      <c r="J2" s="13"/>
      <c r="K2" s="13"/>
      <c r="L2" s="13"/>
      <c r="M2" s="13"/>
    </row>
    <row r="3" customHeight="1" spans="1:26">
      <c r="A3" s="1"/>
      <c r="B3" s="1"/>
      <c r="G3" s="13"/>
      <c r="H3" s="14"/>
      <c r="I3" s="14"/>
      <c r="J3" s="13"/>
      <c r="K3" s="13"/>
      <c r="L3" s="13"/>
      <c r="M3" s="13"/>
    </row>
    <row r="4" customHeight="1" spans="1:26">
      <c r="A4" s="15"/>
      <c r="B4" s="16" t="s">
        <v>178</v>
      </c>
      <c r="G4" s="13"/>
      <c r="H4" s="14"/>
      <c r="I4" s="14"/>
      <c r="J4" s="13"/>
      <c r="K4" s="13"/>
      <c r="L4" s="13"/>
      <c r="M4" s="13"/>
    </row>
    <row r="5" customHeight="1" spans="1:26">
      <c r="A5" s="17" t="s">
        <v>65</v>
      </c>
      <c r="B5" s="17">
        <v>0.0691</v>
      </c>
      <c r="G5" s="13"/>
      <c r="H5" s="14"/>
      <c r="I5" s="14"/>
      <c r="J5" s="13"/>
      <c r="K5" s="13"/>
      <c r="L5" s="13"/>
      <c r="M5" s="13"/>
    </row>
    <row r="6" customHeight="1" spans="1:26">
      <c r="A6" s="17" t="s">
        <v>67</v>
      </c>
      <c r="B6" s="17">
        <v>0.1952</v>
      </c>
      <c r="G6" s="13"/>
      <c r="H6" s="14"/>
      <c r="I6" s="14"/>
      <c r="J6" s="13"/>
      <c r="K6" s="13"/>
      <c r="L6" s="13"/>
      <c r="M6" s="13"/>
    </row>
    <row r="7" customHeight="1" spans="1:26">
      <c r="A7" s="17" t="s">
        <v>70</v>
      </c>
      <c r="B7" s="17">
        <v>0.7716</v>
      </c>
      <c r="G7" s="13"/>
      <c r="H7" s="14"/>
      <c r="I7" s="14"/>
      <c r="J7" s="13"/>
      <c r="K7" s="13"/>
      <c r="L7" s="13"/>
      <c r="M7" s="13"/>
    </row>
    <row r="8" customHeight="1" spans="1:26">
      <c r="A8" s="17" t="s">
        <v>73</v>
      </c>
      <c r="B8" s="17">
        <v>2.8882</v>
      </c>
      <c r="G8" s="13"/>
      <c r="H8" s="14"/>
      <c r="I8" s="14"/>
      <c r="J8" s="13"/>
      <c r="K8" s="13"/>
      <c r="L8" s="13"/>
      <c r="M8" s="13"/>
    </row>
    <row r="9" customHeight="1" spans="1:26">
      <c r="A9" s="17" t="s">
        <v>76</v>
      </c>
      <c r="B9" s="17">
        <v>8.1374</v>
      </c>
      <c r="G9" s="13"/>
      <c r="H9" s="14"/>
      <c r="I9" s="14"/>
      <c r="J9" s="13"/>
      <c r="K9" s="13"/>
      <c r="L9" s="13"/>
      <c r="M9" s="13"/>
    </row>
    <row r="10" customHeight="1" spans="1:26">
      <c r="A10" s="17" t="s">
        <v>102</v>
      </c>
      <c r="B10" s="17">
        <v>1.84</v>
      </c>
      <c r="G10" s="13"/>
      <c r="H10" s="14"/>
      <c r="I10" s="14"/>
      <c r="J10" s="13"/>
      <c r="K10" s="13"/>
      <c r="L10" s="13"/>
      <c r="M10" s="13"/>
    </row>
    <row r="11" customHeight="1" spans="1:26">
      <c r="A11" s="17" t="s">
        <v>106</v>
      </c>
      <c r="B11" s="17">
        <v>15</v>
      </c>
      <c r="G11" s="13"/>
      <c r="H11" s="14"/>
      <c r="I11" s="14"/>
      <c r="J11" s="13"/>
      <c r="K11" s="13"/>
      <c r="L11" s="13"/>
      <c r="M11" s="13"/>
    </row>
    <row r="12" customHeight="1" spans="1:26">
      <c r="A12" s="1"/>
      <c r="B12" s="1"/>
      <c r="G12" s="13"/>
      <c r="H12" s="14"/>
      <c r="I12" s="14"/>
      <c r="J12" s="13"/>
      <c r="K12" s="13"/>
      <c r="L12" s="13"/>
      <c r="M12" s="13"/>
    </row>
    <row r="13" customHeight="1" spans="1:26">
      <c r="A13" s="5" t="s">
        <v>179</v>
      </c>
      <c r="B13" s="5" t="s">
        <v>73</v>
      </c>
      <c r="C13" s="5" t="s">
        <v>76</v>
      </c>
      <c r="D13" s="17" t="s">
        <v>106</v>
      </c>
      <c r="E13" s="17" t="s">
        <v>180</v>
      </c>
      <c r="F13" s="17" t="s">
        <v>181</v>
      </c>
      <c r="G13" s="13"/>
      <c r="H13" s="14"/>
      <c r="I13" s="14"/>
      <c r="J13" s="13"/>
      <c r="K13" s="13"/>
      <c r="L13" s="13"/>
      <c r="M13" s="13"/>
    </row>
    <row r="14" customHeight="1" spans="1:26">
      <c r="A14" s="5">
        <v>4.99</v>
      </c>
      <c r="B14" s="5">
        <v>2</v>
      </c>
      <c r="C14" s="5"/>
      <c r="D14" s="5"/>
      <c r="E14" s="5">
        <f t="shared" ref="E14:E17" si="0">B14*$B$8+C14*$B$9+D14*$B$11</f>
        <v>5.7764</v>
      </c>
      <c r="F14" s="18">
        <f t="shared" ref="F14:F17" si="1">E14/A14</f>
        <v>1.15759519038076</v>
      </c>
      <c r="G14" s="13"/>
      <c r="H14" s="14"/>
      <c r="I14" s="14"/>
      <c r="J14" s="13"/>
      <c r="K14" s="13"/>
      <c r="L14" s="13"/>
      <c r="M14" s="13"/>
    </row>
    <row r="15" customHeight="1" spans="1:26">
      <c r="A15" s="5">
        <v>9.99</v>
      </c>
      <c r="B15" s="5">
        <v>2</v>
      </c>
      <c r="C15" s="19">
        <v>1</v>
      </c>
      <c r="D15" s="19"/>
      <c r="E15" s="19">
        <f t="shared" si="0"/>
        <v>13.9138</v>
      </c>
      <c r="F15" s="18">
        <f t="shared" si="1"/>
        <v>1.39277277277277</v>
      </c>
      <c r="G15" s="13"/>
      <c r="H15" s="14"/>
      <c r="I15" s="14"/>
      <c r="J15" s="13"/>
      <c r="K15" s="13"/>
      <c r="L15" s="13"/>
      <c r="M15" s="13"/>
    </row>
    <row r="16" customHeight="1" spans="1:26">
      <c r="A16" s="5">
        <v>19.99</v>
      </c>
      <c r="B16" s="19">
        <v>2</v>
      </c>
      <c r="C16" s="5">
        <v>1</v>
      </c>
      <c r="D16" s="19">
        <v>1</v>
      </c>
      <c r="E16" s="19">
        <f t="shared" si="0"/>
        <v>28.9138</v>
      </c>
      <c r="F16" s="18">
        <f t="shared" si="1"/>
        <v>1.4464132066033</v>
      </c>
      <c r="G16" s="13"/>
      <c r="H16" s="14"/>
      <c r="I16" s="14"/>
      <c r="J16" s="13"/>
      <c r="K16" s="13"/>
      <c r="L16" s="13"/>
      <c r="M16" s="13"/>
    </row>
    <row r="17" customHeight="1" spans="1:26">
      <c r="A17" s="5">
        <v>29.99</v>
      </c>
      <c r="B17" s="19">
        <f t="shared" ref="B17:D17" si="2">SUM(B14:B16)</f>
        <v>6</v>
      </c>
      <c r="C17" s="20">
        <f t="shared" si="2"/>
        <v>2</v>
      </c>
      <c r="D17" s="19">
        <f t="shared" si="2"/>
        <v>1</v>
      </c>
      <c r="E17" s="19">
        <f t="shared" si="0"/>
        <v>48.604</v>
      </c>
      <c r="F17" s="18">
        <f t="shared" si="1"/>
        <v>1.62067355785262</v>
      </c>
      <c r="G17" s="13"/>
      <c r="H17" s="14"/>
      <c r="I17" s="14"/>
      <c r="J17" s="13"/>
      <c r="K17" s="13"/>
      <c r="L17" s="13"/>
      <c r="M17" s="13"/>
    </row>
    <row r="18" customHeight="1" spans="1:26">
      <c r="A18" s="1"/>
      <c r="B18" s="1"/>
      <c r="G18" s="13"/>
      <c r="H18" s="14"/>
      <c r="I18" s="14"/>
      <c r="J18" s="13"/>
      <c r="K18" s="13"/>
      <c r="L18" s="13"/>
      <c r="M18" s="13"/>
    </row>
    <row r="19" customHeight="1" spans="1:26">
      <c r="A19" s="1"/>
      <c r="B19" s="1"/>
      <c r="G19" s="13"/>
      <c r="H19" s="14"/>
      <c r="I19" s="14"/>
      <c r="J19" s="13"/>
      <c r="K19" s="13"/>
      <c r="L19" s="13"/>
      <c r="M19" s="13"/>
    </row>
    <row r="20" customHeight="1" spans="1:26">
      <c r="A20" s="1"/>
      <c r="B20" s="1"/>
      <c r="G20" s="13"/>
      <c r="H20" s="14"/>
      <c r="I20" s="14"/>
      <c r="J20" s="13"/>
      <c r="K20" s="13"/>
      <c r="L20" s="13"/>
      <c r="M20" s="13"/>
    </row>
    <row r="21" customHeight="1" spans="1:26">
      <c r="A21" s="1"/>
      <c r="B21" s="1"/>
      <c r="G21" s="13"/>
      <c r="H21" s="14"/>
      <c r="I21" s="14"/>
      <c r="J21" s="13"/>
      <c r="K21" s="13"/>
      <c r="L21" s="13"/>
      <c r="M21" s="13"/>
    </row>
    <row r="22" customHeight="1" spans="1:26">
      <c r="A22" s="1"/>
      <c r="B22" s="1"/>
      <c r="G22" s="13"/>
      <c r="H22" s="14"/>
      <c r="I22" s="14"/>
      <c r="J22" s="13"/>
      <c r="K22" s="13"/>
      <c r="L22" s="13"/>
      <c r="M22" s="13"/>
    </row>
    <row r="23" customHeight="1" spans="1:26">
      <c r="A23" s="1"/>
      <c r="B23" s="1"/>
      <c r="G23" s="13"/>
      <c r="H23" s="14"/>
      <c r="I23" s="14"/>
      <c r="J23" s="13"/>
      <c r="K23" s="13"/>
      <c r="L23" s="13"/>
      <c r="M23" s="13"/>
    </row>
    <row r="24" customHeight="1" spans="1:26">
      <c r="A24" s="1"/>
      <c r="B24" s="1"/>
      <c r="G24" s="13"/>
      <c r="H24" s="14"/>
      <c r="I24" s="14"/>
      <c r="J24" s="13"/>
      <c r="K24" s="13"/>
      <c r="L24" s="13"/>
      <c r="M24" s="13"/>
    </row>
    <row r="25" customHeight="1" spans="1:26">
      <c r="A25" s="3" t="s">
        <v>182</v>
      </c>
      <c r="B25" s="3"/>
      <c r="C25" s="9"/>
      <c r="D25" s="9"/>
      <c r="E25" s="9"/>
      <c r="F25" s="9"/>
      <c r="G25" s="10"/>
      <c r="H25" s="11"/>
      <c r="I25" s="11"/>
      <c r="J25" s="10"/>
      <c r="K25" s="10"/>
      <c r="L25" s="10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Height="1" spans="1:26">
      <c r="A26" s="1" t="s">
        <v>176</v>
      </c>
      <c r="B26" s="12" t="s">
        <v>183</v>
      </c>
      <c r="G26" s="13"/>
      <c r="H26" s="14"/>
      <c r="I26" s="14"/>
      <c r="J26" s="13"/>
      <c r="K26" s="13"/>
      <c r="L26" s="13"/>
      <c r="M26" s="13"/>
    </row>
    <row r="27" customHeight="1" spans="1:26">
      <c r="A27" s="1" t="s">
        <v>184</v>
      </c>
      <c r="G27" s="13"/>
      <c r="H27" s="14"/>
      <c r="I27" s="14"/>
      <c r="J27" s="13"/>
      <c r="K27" s="13"/>
      <c r="L27" s="13"/>
      <c r="M27" s="13"/>
    </row>
    <row r="28" customHeight="1" spans="1:26">
      <c r="A28" s="21" t="s">
        <v>185</v>
      </c>
      <c r="B28" s="14"/>
      <c r="C28" s="14"/>
      <c r="D28" s="13"/>
      <c r="G28" s="13"/>
      <c r="H28" s="14"/>
      <c r="I28" s="14"/>
      <c r="J28" s="13"/>
      <c r="K28" s="13"/>
      <c r="L28" s="13"/>
      <c r="M28" s="13"/>
    </row>
    <row r="29" customHeight="1" spans="1:26">
      <c r="A29" s="1" t="s">
        <v>186</v>
      </c>
      <c r="B29" s="14"/>
      <c r="C29" s="14"/>
      <c r="D29" s="13"/>
      <c r="G29" s="13"/>
      <c r="H29" s="14"/>
      <c r="I29" s="14"/>
      <c r="J29" s="13"/>
      <c r="K29" s="13"/>
      <c r="L29" s="13"/>
      <c r="M29" s="13"/>
    </row>
    <row r="30" customHeight="1" spans="1:26">
      <c r="A30" s="13"/>
      <c r="B30" s="14"/>
      <c r="C30" s="14"/>
      <c r="D30" s="13"/>
      <c r="G30" s="13"/>
      <c r="H30" s="14"/>
      <c r="I30" s="14"/>
      <c r="J30" s="13"/>
      <c r="K30" s="13"/>
      <c r="L30" s="13"/>
      <c r="M30" s="13"/>
    </row>
    <row r="31" customHeight="1" spans="1:26">
      <c r="A31" s="5" t="s">
        <v>187</v>
      </c>
      <c r="B31" s="17" t="s">
        <v>188</v>
      </c>
      <c r="C31" s="17" t="s">
        <v>189</v>
      </c>
      <c r="D31" s="5" t="s">
        <v>190</v>
      </c>
      <c r="G31" s="13"/>
      <c r="H31" s="14"/>
      <c r="I31" s="14"/>
      <c r="J31" s="13"/>
      <c r="K31" s="13"/>
      <c r="L31" s="13"/>
      <c r="M31" s="13"/>
    </row>
    <row r="32" customHeight="1" spans="1:26">
      <c r="A32" s="5" t="s">
        <v>133</v>
      </c>
      <c r="B32" s="17">
        <v>63</v>
      </c>
      <c r="C32" s="17">
        <v>31</v>
      </c>
      <c r="D32" s="5">
        <v>29</v>
      </c>
      <c r="G32" s="13"/>
      <c r="H32" s="14"/>
      <c r="I32" s="14"/>
      <c r="J32" s="13"/>
      <c r="K32" s="13"/>
      <c r="L32" s="13"/>
      <c r="M32" s="13"/>
    </row>
    <row r="33" customHeight="1" spans="1:13">
      <c r="A33" s="5" t="s">
        <v>191</v>
      </c>
      <c r="B33" s="17">
        <v>0</v>
      </c>
      <c r="C33" s="17">
        <v>25</v>
      </c>
      <c r="D33" s="5">
        <v>26</v>
      </c>
      <c r="G33" s="13" t="s">
        <v>192</v>
      </c>
      <c r="H33" s="14" t="s">
        <v>132</v>
      </c>
      <c r="I33" s="14" t="s">
        <v>133</v>
      </c>
      <c r="J33" s="13" t="s">
        <v>191</v>
      </c>
      <c r="K33" s="13" t="s">
        <v>193</v>
      </c>
      <c r="L33" s="13" t="s">
        <v>194</v>
      </c>
      <c r="M33" s="13" t="s">
        <v>195</v>
      </c>
    </row>
    <row r="34" customHeight="1" spans="1:13">
      <c r="A34" s="5" t="s">
        <v>196</v>
      </c>
      <c r="B34" s="17">
        <v>0.13</v>
      </c>
      <c r="C34" s="17">
        <v>0.13</v>
      </c>
      <c r="D34" s="17">
        <v>0.13</v>
      </c>
      <c r="E34" s="13"/>
      <c r="F34" s="13"/>
      <c r="G34" s="22" t="s">
        <v>197</v>
      </c>
      <c r="H34" s="23">
        <v>0.9</v>
      </c>
      <c r="I34" s="23">
        <v>0.1</v>
      </c>
      <c r="J34" s="23">
        <v>0</v>
      </c>
      <c r="K34" s="13">
        <v>140</v>
      </c>
      <c r="L34" s="13">
        <f t="shared" ref="L34:L36" si="3">K34/250</f>
        <v>0.56</v>
      </c>
      <c r="M34" s="13">
        <v>90</v>
      </c>
    </row>
    <row r="35" customHeight="1" spans="1:13">
      <c r="A35" s="5" t="s">
        <v>198</v>
      </c>
      <c r="B35" s="17">
        <v>0.1</v>
      </c>
      <c r="C35" s="24">
        <f t="shared" ref="C35:D35" si="4">C33/90-C34</f>
        <v>0.147777777777778</v>
      </c>
      <c r="D35" s="24">
        <f t="shared" si="4"/>
        <v>0.158888888888889</v>
      </c>
      <c r="E35" s="13"/>
      <c r="G35" s="2" t="s">
        <v>199</v>
      </c>
      <c r="H35" s="23">
        <v>0</v>
      </c>
      <c r="I35" s="23">
        <v>1</v>
      </c>
      <c r="K35" s="14">
        <v>1100</v>
      </c>
      <c r="L35" s="13">
        <f t="shared" si="3"/>
        <v>4.4</v>
      </c>
      <c r="M35" s="13">
        <v>90</v>
      </c>
    </row>
    <row r="36" customHeight="1" spans="1:13">
      <c r="A36" s="5" t="s">
        <v>200</v>
      </c>
      <c r="B36" s="18">
        <f>B32/90/I34-B34-B35</f>
        <v>6.77</v>
      </c>
      <c r="C36" s="24">
        <f t="shared" ref="C36:D36" si="5">C32/0.1/90</f>
        <v>3.44444444444444</v>
      </c>
      <c r="D36" s="24">
        <f t="shared" si="5"/>
        <v>3.22222222222222</v>
      </c>
      <c r="E36" s="13"/>
      <c r="F36" s="13"/>
      <c r="G36" s="25" t="s">
        <v>201</v>
      </c>
      <c r="H36" s="23">
        <v>0</v>
      </c>
      <c r="I36" s="23">
        <v>1</v>
      </c>
      <c r="K36" s="13">
        <v>1800</v>
      </c>
      <c r="L36" s="13">
        <f t="shared" si="3"/>
        <v>7.2</v>
      </c>
      <c r="M36" s="13">
        <v>90</v>
      </c>
    </row>
    <row r="37" customHeight="1" spans="1:13">
      <c r="A37" s="5"/>
      <c r="C37" s="13">
        <f t="shared" ref="C37:D37" si="6">4*0.1</f>
        <v>0.4</v>
      </c>
      <c r="D37" s="13">
        <f t="shared" si="6"/>
        <v>0.4</v>
      </c>
      <c r="E37" s="13"/>
      <c r="F37" s="13"/>
      <c r="G37" s="1"/>
    </row>
    <row r="38" customHeight="1" spans="1:13">
      <c r="A38" s="5" t="s">
        <v>202</v>
      </c>
      <c r="B38" s="26"/>
      <c r="C38" s="5">
        <f t="shared" ref="C38:D38" si="7">C37/0.1</f>
        <v>4</v>
      </c>
      <c r="D38" s="5">
        <f t="shared" si="7"/>
        <v>4</v>
      </c>
      <c r="E38" s="13"/>
      <c r="F38" s="13"/>
    </row>
    <row r="39" customHeight="1" spans="1:13">
      <c r="A39" s="1" t="s">
        <v>203</v>
      </c>
      <c r="C39" s="27">
        <f t="shared" ref="C39:D39" si="8">C34+C35+C37</f>
        <v>0.677777777777778</v>
      </c>
      <c r="D39" s="27">
        <f t="shared" si="8"/>
        <v>0.688888888888889</v>
      </c>
      <c r="E39" s="13"/>
      <c r="F39" s="13"/>
      <c r="G39" s="1"/>
    </row>
    <row r="40" customHeight="1" spans="1:13">
      <c r="A40" s="1" t="s">
        <v>204</v>
      </c>
      <c r="C40" s="8">
        <f t="shared" ref="C40:D40" si="9">C39*90</f>
        <v>61</v>
      </c>
      <c r="D40" s="8">
        <f t="shared" si="9"/>
        <v>62</v>
      </c>
      <c r="F40" s="13"/>
      <c r="G40" s="1"/>
    </row>
    <row r="41" customHeight="1" spans="1:13">
      <c r="A41" s="13"/>
      <c r="B41" s="14"/>
      <c r="C41" s="14"/>
      <c r="D41" s="13"/>
      <c r="E41" s="13"/>
      <c r="F41" s="13"/>
      <c r="G41" s="1"/>
    </row>
    <row r="42" customHeight="1" spans="1:13">
      <c r="A42" s="28" t="s">
        <v>188</v>
      </c>
    </row>
    <row r="43" customHeight="1" spans="1:13">
      <c r="A43" s="29" t="s">
        <v>205</v>
      </c>
      <c r="B43" s="5" t="s">
        <v>206</v>
      </c>
      <c r="C43" s="5" t="s">
        <v>207</v>
      </c>
      <c r="D43" s="17" t="s">
        <v>208</v>
      </c>
      <c r="I43" s="30"/>
      <c r="M43" s="31"/>
    </row>
    <row r="44" customHeight="1" spans="1:13">
      <c r="A44" s="29" t="s">
        <v>209</v>
      </c>
      <c r="B44" s="5">
        <v>1</v>
      </c>
      <c r="C44" s="5"/>
      <c r="D44" s="5"/>
      <c r="I44" s="30"/>
      <c r="M44" s="31"/>
    </row>
    <row r="45" customHeight="1" spans="1:13">
      <c r="A45" s="29" t="s">
        <v>210</v>
      </c>
      <c r="B45" s="5">
        <v>2</v>
      </c>
      <c r="C45" s="5"/>
      <c r="D45" s="5"/>
      <c r="I45" s="30"/>
      <c r="M45" s="31"/>
    </row>
    <row r="46" customHeight="1" spans="1:13">
      <c r="A46" s="29" t="s">
        <v>211</v>
      </c>
      <c r="B46" s="19">
        <f>B36-B44-B45</f>
        <v>3.77</v>
      </c>
      <c r="C46" s="19">
        <v>1</v>
      </c>
      <c r="D46" s="19">
        <v>1</v>
      </c>
      <c r="I46" s="30"/>
      <c r="M46" s="31"/>
    </row>
    <row r="47" customHeight="1" spans="1:13">
      <c r="I47" s="30"/>
      <c r="M47" s="31"/>
    </row>
    <row r="48" customHeight="1" spans="1:13">
      <c r="M48" s="32"/>
    </row>
    <row r="49" customHeight="1" spans="1:13">
      <c r="A49" s="5" t="s">
        <v>212</v>
      </c>
      <c r="B49" s="5" t="s">
        <v>206</v>
      </c>
      <c r="C49" s="5" t="s">
        <v>207</v>
      </c>
      <c r="D49" s="17" t="s">
        <v>208</v>
      </c>
      <c r="M49" s="31"/>
    </row>
    <row r="50" customHeight="1" spans="1:13">
      <c r="A50" s="5">
        <v>1.99</v>
      </c>
      <c r="B50" s="5">
        <v>1</v>
      </c>
      <c r="C50" s="5"/>
      <c r="D50" s="5"/>
      <c r="M50" s="31"/>
    </row>
    <row r="51" customHeight="1" spans="1:13">
      <c r="A51" s="5">
        <v>4.99</v>
      </c>
      <c r="B51" s="5">
        <v>2</v>
      </c>
      <c r="C51" s="19">
        <f>C46</f>
        <v>1</v>
      </c>
      <c r="D51" s="19"/>
      <c r="M51" s="31"/>
    </row>
    <row r="52" customHeight="1" spans="1:13">
      <c r="A52" s="5">
        <v>9.99</v>
      </c>
      <c r="B52" s="19">
        <v>5</v>
      </c>
      <c r="C52" s="5"/>
      <c r="D52" s="19">
        <f>D46</f>
        <v>1</v>
      </c>
      <c r="M52" s="31"/>
    </row>
    <row r="53" customHeight="1" spans="1:13">
      <c r="A53" s="5">
        <v>14.99</v>
      </c>
      <c r="B53" s="19">
        <f t="shared" ref="B53:D53" si="10">SUM(B50:B52)</f>
        <v>8</v>
      </c>
      <c r="C53" s="20">
        <f t="shared" si="10"/>
        <v>1</v>
      </c>
      <c r="D53" s="19">
        <f t="shared" si="10"/>
        <v>1</v>
      </c>
      <c r="M53" s="31"/>
    </row>
    <row r="54" customHeight="1" spans="1:13">
      <c r="M54" s="31"/>
    </row>
    <row r="55" customHeight="1" spans="1:13">
      <c r="M55" s="31"/>
    </row>
    <row r="56" customHeight="1" spans="1:13">
      <c r="M56" s="31"/>
    </row>
    <row r="57" customHeight="1" spans="1:13">
      <c r="A57" s="28" t="s">
        <v>189</v>
      </c>
      <c r="M57" s="31"/>
    </row>
    <row r="58" customHeight="1" spans="1:13">
      <c r="A58" s="29" t="s">
        <v>213</v>
      </c>
      <c r="B58" s="5" t="s">
        <v>206</v>
      </c>
      <c r="C58" s="5" t="s">
        <v>207</v>
      </c>
      <c r="D58" s="17" t="s">
        <v>208</v>
      </c>
      <c r="M58" s="31"/>
    </row>
    <row r="59" customHeight="1" spans="1:13">
      <c r="A59" s="29" t="s">
        <v>209</v>
      </c>
      <c r="B59" s="19">
        <v>1</v>
      </c>
      <c r="C59" s="5"/>
      <c r="D59" s="5"/>
      <c r="M59" s="31"/>
    </row>
    <row r="60" customHeight="1" spans="1:13">
      <c r="A60" s="29" t="s">
        <v>210</v>
      </c>
      <c r="B60" s="19">
        <v>2</v>
      </c>
      <c r="C60" s="5"/>
      <c r="D60" s="5"/>
      <c r="M60" s="31"/>
    </row>
    <row r="61" customHeight="1" spans="1:13">
      <c r="A61" s="29" t="s">
        <v>211</v>
      </c>
      <c r="B61" s="19">
        <f>(C38-B59-B60)*7</f>
        <v>7</v>
      </c>
      <c r="C61" s="19">
        <f>C34*7</f>
        <v>0.91</v>
      </c>
      <c r="D61" s="19">
        <f>C35*7</f>
        <v>1.03444444444444</v>
      </c>
      <c r="M61" s="31"/>
    </row>
    <row r="62" customHeight="1" spans="1:13">
      <c r="M62" s="31"/>
    </row>
    <row r="63" customHeight="1" spans="1:13">
      <c r="M63" s="31"/>
    </row>
    <row r="64" customHeight="1" spans="1:13">
      <c r="A64" s="5" t="s">
        <v>212</v>
      </c>
      <c r="B64" s="5" t="s">
        <v>206</v>
      </c>
      <c r="C64" s="5" t="s">
        <v>207</v>
      </c>
      <c r="D64" s="17" t="s">
        <v>208</v>
      </c>
      <c r="G64" s="1" t="s">
        <v>214</v>
      </c>
      <c r="M64" s="31"/>
    </row>
    <row r="65" customHeight="1" spans="1:13">
      <c r="A65" s="5">
        <v>1.99</v>
      </c>
      <c r="B65" s="5">
        <v>1</v>
      </c>
      <c r="C65" s="5"/>
      <c r="D65" s="5"/>
      <c r="F65" s="8">
        <f t="shared" ref="F65:F68" si="11">B65*0.56+C65*4.4+D65*7.2</f>
        <v>0.56</v>
      </c>
      <c r="G65" s="33" t="e">
        <f t="shared" ref="G65:G67" si="12">F65/A64</f>
        <v>#VALUE!</v>
      </c>
      <c r="M65" s="31"/>
    </row>
    <row r="66" customHeight="1" spans="1:13">
      <c r="A66" s="5">
        <v>4.99</v>
      </c>
      <c r="B66" s="5">
        <v>1</v>
      </c>
      <c r="C66" s="19">
        <f>C61</f>
        <v>0.91</v>
      </c>
      <c r="D66" s="19"/>
      <c r="F66" s="8">
        <f t="shared" si="11"/>
        <v>4.564</v>
      </c>
      <c r="G66" s="33">
        <f t="shared" si="12"/>
        <v>2.29346733668342</v>
      </c>
      <c r="M66" s="31"/>
    </row>
    <row r="67" customHeight="1" spans="1:13">
      <c r="A67" s="5">
        <v>9.99</v>
      </c>
      <c r="B67" s="5">
        <v>5</v>
      </c>
      <c r="C67" s="5"/>
      <c r="D67" s="19">
        <f>D61</f>
        <v>1.03444444444444</v>
      </c>
      <c r="E67" s="8">
        <f>SUM(A64:A66)</f>
        <v>6.98</v>
      </c>
      <c r="F67" s="8">
        <f t="shared" si="11"/>
        <v>10.248</v>
      </c>
      <c r="G67" s="33">
        <f t="shared" si="12"/>
        <v>2.05370741482966</v>
      </c>
      <c r="H67" s="13"/>
      <c r="I67" s="14"/>
      <c r="M67" s="31"/>
    </row>
    <row r="68" customHeight="1" spans="1:13">
      <c r="A68" s="5">
        <v>14.99</v>
      </c>
      <c r="B68" s="34">
        <f t="shared" ref="B68:D68" si="13">SUM(B65:B67)</f>
        <v>7</v>
      </c>
      <c r="C68" s="20">
        <f t="shared" si="13"/>
        <v>0.91</v>
      </c>
      <c r="D68" s="19">
        <f t="shared" si="13"/>
        <v>1.03444444444444</v>
      </c>
      <c r="E68" s="33">
        <f>A68/E67</f>
        <v>2.14756446991404</v>
      </c>
      <c r="F68" s="8">
        <f t="shared" si="11"/>
        <v>15.372</v>
      </c>
      <c r="K68" s="35"/>
      <c r="M68" s="36"/>
    </row>
    <row r="69" customHeight="1" spans="1:13">
      <c r="B69" s="37">
        <f>B68-B61</f>
        <v>0</v>
      </c>
      <c r="K69" s="35"/>
      <c r="M69" s="36"/>
    </row>
    <row r="70" customHeight="1" spans="1:13">
      <c r="K70" s="35"/>
      <c r="M70" s="36"/>
    </row>
    <row r="71" customHeight="1" spans="1:13">
      <c r="K71" s="35"/>
      <c r="M71" s="36"/>
    </row>
    <row r="72" customHeight="1" spans="1:13">
      <c r="B72" s="38"/>
      <c r="C72" s="38"/>
      <c r="K72" s="35"/>
      <c r="M72" s="31"/>
    </row>
    <row r="73" customHeight="1" spans="1:13">
      <c r="M73" s="31"/>
    </row>
    <row r="74" customHeight="1" spans="1:13">
      <c r="A74" s="28" t="s">
        <v>190</v>
      </c>
    </row>
    <row r="75" customHeight="1" spans="1:13">
      <c r="A75" s="29" t="s">
        <v>215</v>
      </c>
      <c r="B75" s="5" t="s">
        <v>206</v>
      </c>
      <c r="C75" s="5" t="s">
        <v>207</v>
      </c>
      <c r="D75" s="17" t="s">
        <v>208</v>
      </c>
    </row>
    <row r="76" customHeight="1" spans="1:13">
      <c r="A76" s="29" t="s">
        <v>216</v>
      </c>
      <c r="B76" s="5">
        <v>1</v>
      </c>
      <c r="C76" s="5"/>
      <c r="D76" s="26"/>
    </row>
    <row r="77" customHeight="1" spans="1:13">
      <c r="A77" s="29" t="s">
        <v>210</v>
      </c>
      <c r="B77" s="5">
        <v>2</v>
      </c>
      <c r="C77" s="5"/>
      <c r="D77" s="26"/>
    </row>
    <row r="78" customHeight="1" spans="1:13">
      <c r="A78" s="29" t="s">
        <v>211</v>
      </c>
      <c r="B78" s="19">
        <f>(D38-B76-B77)*7</f>
        <v>7</v>
      </c>
      <c r="C78" s="19">
        <f>D34*7</f>
        <v>0.91</v>
      </c>
      <c r="D78" s="19">
        <f>D35*7</f>
        <v>1.11222222222222</v>
      </c>
    </row>
    <row r="81" customHeight="1" spans="1:5">
      <c r="A81" s="5" t="s">
        <v>212</v>
      </c>
      <c r="B81" s="5" t="s">
        <v>206</v>
      </c>
      <c r="C81" s="5" t="s">
        <v>207</v>
      </c>
      <c r="D81" s="17" t="s">
        <v>208</v>
      </c>
    </row>
    <row r="82" customHeight="1" spans="1:5">
      <c r="A82" s="5">
        <v>1.99</v>
      </c>
      <c r="B82" s="5">
        <v>1</v>
      </c>
      <c r="C82" s="5"/>
      <c r="D82" s="5"/>
      <c r="E82" s="35"/>
    </row>
    <row r="83" customHeight="1" spans="1:5">
      <c r="A83" s="5">
        <v>4.99</v>
      </c>
      <c r="B83" s="5">
        <v>1</v>
      </c>
      <c r="C83" s="19">
        <f>C78</f>
        <v>0.91</v>
      </c>
      <c r="D83" s="19"/>
      <c r="E83" s="35"/>
    </row>
    <row r="84" customHeight="1" spans="1:5">
      <c r="A84" s="5">
        <v>9.99</v>
      </c>
      <c r="B84" s="5">
        <v>5</v>
      </c>
      <c r="C84" s="19"/>
      <c r="D84" s="19">
        <f>D78</f>
        <v>1.11222222222222</v>
      </c>
      <c r="E84" s="8">
        <f>SUM(A82:A84)</f>
        <v>16.97</v>
      </c>
    </row>
    <row r="85" customHeight="1" spans="1:5">
      <c r="A85" s="5">
        <v>14.99</v>
      </c>
      <c r="B85" s="34">
        <f t="shared" ref="B85:D85" si="14">SUM(B82:B84)</f>
        <v>7</v>
      </c>
      <c r="C85" s="20">
        <f t="shared" si="14"/>
        <v>0.91</v>
      </c>
      <c r="D85" s="19">
        <f t="shared" si="14"/>
        <v>1.11222222222222</v>
      </c>
      <c r="E85" s="33">
        <f>A85/E84</f>
        <v>0.883323512080141</v>
      </c>
    </row>
    <row r="86" customHeight="1" spans="1:5">
      <c r="B86" s="37">
        <f>B85-B78</f>
        <v>0</v>
      </c>
    </row>
    <row r="87" customHeight="1" spans="1:5">
      <c r="C87" s="35"/>
    </row>
  </sheetData>
  <mergeCells count="2">
    <mergeCell ref="I35:J35"/>
    <mergeCell ref="I36:J36"/>
  </mergeCells>
  <hyperlinks>
    <hyperlink ref="B2" r:id="rId3" location="gid=1486790828" display="https://docs.google.com/spreadsheets/d/1Ia-eYU96M6JqB94Dp_JwNE7mICuNhosfOdHLwARHrnU/edit?gid=1486790828#gid=1486790828"/>
    <hyperlink ref="B26" r:id="rId4" location="gid=0" display="https://docs.google.com/spreadsheets/d/1h4RQR7RIQij5nEmdvTpZiC9hOR8jeQ3UkuOoCAcBYs8/edit?gid=0#gid=0"/>
  </hyperlink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4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4">
      <c r="A1" s="2" t="s">
        <v>217</v>
      </c>
      <c r="B1" s="2"/>
      <c r="C1" s="2"/>
    </row>
    <row r="2" customHeight="1" spans="1:14">
      <c r="A2" s="3" t="s">
        <v>89</v>
      </c>
      <c r="B2" s="3"/>
      <c r="C2" s="3"/>
      <c r="D2" s="3"/>
      <c r="E2" s="3"/>
      <c r="F2" s="3"/>
      <c r="G2" s="3"/>
      <c r="H2" s="3"/>
    </row>
    <row r="3" customHeight="1" spans="1:14">
      <c r="A3" s="4"/>
      <c r="B3" s="4" t="s">
        <v>90</v>
      </c>
      <c r="C3" s="4" t="s">
        <v>91</v>
      </c>
      <c r="D3" s="4" t="s">
        <v>92</v>
      </c>
      <c r="E3" s="4" t="s">
        <v>93</v>
      </c>
      <c r="F3" s="4" t="s">
        <v>94</v>
      </c>
      <c r="G3" s="4" t="s">
        <v>95</v>
      </c>
      <c r="H3" s="4" t="s">
        <v>96</v>
      </c>
      <c r="I3" s="1" t="s">
        <v>218</v>
      </c>
      <c r="J3" s="1" t="s">
        <v>219</v>
      </c>
      <c r="K3" s="1" t="s">
        <v>220</v>
      </c>
    </row>
    <row r="4" customHeight="1" spans="1:14">
      <c r="A4" s="5" t="s">
        <v>65</v>
      </c>
      <c r="B4" s="5">
        <v>1</v>
      </c>
      <c r="C4" s="5" t="s">
        <v>10</v>
      </c>
      <c r="D4" s="6">
        <v>0.9</v>
      </c>
      <c r="E4" s="6">
        <v>0.08</v>
      </c>
      <c r="F4" s="7">
        <v>0.01</v>
      </c>
      <c r="G4" s="7">
        <v>0.0049</v>
      </c>
      <c r="H4" s="7">
        <v>0.0001</v>
      </c>
      <c r="I4" s="1" t="s">
        <v>221</v>
      </c>
      <c r="J4" s="1" t="s">
        <v>222</v>
      </c>
      <c r="K4" s="1" t="s">
        <v>223</v>
      </c>
    </row>
    <row r="5" customHeight="1" spans="1:14">
      <c r="A5" s="5" t="s">
        <v>67</v>
      </c>
      <c r="B5" s="5">
        <v>1</v>
      </c>
      <c r="C5" s="5" t="s">
        <v>97</v>
      </c>
      <c r="D5" s="6" t="s">
        <v>10</v>
      </c>
      <c r="E5" s="6">
        <v>0.84</v>
      </c>
      <c r="F5" s="6">
        <v>0.14</v>
      </c>
      <c r="G5" s="6">
        <v>0.0198</v>
      </c>
      <c r="H5" s="6">
        <v>0.0002</v>
      </c>
      <c r="I5" s="1" t="s">
        <v>224</v>
      </c>
      <c r="J5" s="1" t="s">
        <v>222</v>
      </c>
      <c r="K5" s="1" t="s">
        <v>223</v>
      </c>
      <c r="L5" s="1" t="s">
        <v>225</v>
      </c>
      <c r="M5" s="1" t="s">
        <v>226</v>
      </c>
      <c r="N5" s="8" t="str">
        <f>IFERROR(__xludf.DUMMYFUNCTION("JOIN("","",'科技节集卡册数值需求'!I186:M186)"),",,,,")</f>
        <v>,,,,</v>
      </c>
    </row>
    <row r="6" customHeight="1" spans="1:14">
      <c r="A6" s="5" t="s">
        <v>70</v>
      </c>
      <c r="B6" s="5">
        <v>2</v>
      </c>
      <c r="C6" s="5" t="s">
        <v>98</v>
      </c>
      <c r="D6" s="6">
        <v>0.75</v>
      </c>
      <c r="E6" s="6">
        <v>0.21</v>
      </c>
      <c r="F6" s="7">
        <v>0.035</v>
      </c>
      <c r="G6" s="7">
        <v>0.0048</v>
      </c>
      <c r="H6" s="6">
        <v>0.0002</v>
      </c>
      <c r="I6" s="1" t="s">
        <v>227</v>
      </c>
      <c r="L6" s="1" t="s">
        <v>228</v>
      </c>
      <c r="M6" s="1" t="s">
        <v>229</v>
      </c>
    </row>
    <row r="7" customHeight="1" spans="1:14">
      <c r="A7" s="5" t="s">
        <v>73</v>
      </c>
      <c r="B7" s="5">
        <v>3</v>
      </c>
      <c r="C7" s="5" t="s">
        <v>99</v>
      </c>
      <c r="D7" s="6">
        <v>0.3</v>
      </c>
      <c r="E7" s="6">
        <v>0.36</v>
      </c>
      <c r="F7" s="7">
        <v>0.26</v>
      </c>
      <c r="G7" s="7">
        <v>0.07</v>
      </c>
      <c r="H7" s="6">
        <v>0.01</v>
      </c>
      <c r="I7" s="1" t="s">
        <v>230</v>
      </c>
      <c r="L7" s="1" t="s">
        <v>228</v>
      </c>
      <c r="M7" s="1" t="s">
        <v>229</v>
      </c>
    </row>
    <row r="8" customHeight="1" spans="1:14">
      <c r="A8" s="5" t="s">
        <v>100</v>
      </c>
      <c r="B8" s="5">
        <v>3</v>
      </c>
      <c r="C8" s="5" t="s">
        <v>101</v>
      </c>
      <c r="D8" s="6">
        <v>0.3</v>
      </c>
      <c r="E8" s="6">
        <v>0.36</v>
      </c>
      <c r="F8" s="7">
        <v>0.26</v>
      </c>
      <c r="G8" s="7">
        <v>0.07</v>
      </c>
      <c r="H8" s="6">
        <v>0.01</v>
      </c>
      <c r="I8" s="1" t="s">
        <v>231</v>
      </c>
    </row>
    <row r="9" customHeight="1" spans="1:14">
      <c r="A9" s="5" t="s">
        <v>78</v>
      </c>
      <c r="B9" s="5">
        <v>2</v>
      </c>
      <c r="C9" s="5" t="s">
        <v>103</v>
      </c>
      <c r="D9" s="6" t="s">
        <v>10</v>
      </c>
      <c r="E9" s="6" t="s">
        <v>10</v>
      </c>
      <c r="F9" s="7">
        <v>0.8</v>
      </c>
      <c r="G9" s="7">
        <v>0.18</v>
      </c>
      <c r="H9" s="6">
        <v>0.02</v>
      </c>
      <c r="I9" s="1" t="s">
        <v>232</v>
      </c>
    </row>
    <row r="10" customHeight="1" spans="1:14">
      <c r="A10" s="5" t="s">
        <v>80</v>
      </c>
      <c r="B10" s="5">
        <v>2</v>
      </c>
      <c r="C10" s="5" t="s">
        <v>103</v>
      </c>
      <c r="D10" s="6" t="s">
        <v>10</v>
      </c>
      <c r="E10" s="6" t="s">
        <v>10</v>
      </c>
      <c r="F10" s="7">
        <v>0.8</v>
      </c>
      <c r="G10" s="7">
        <v>0.18</v>
      </c>
      <c r="H10" s="6">
        <v>0.02</v>
      </c>
      <c r="I10" s="1" t="s">
        <v>233</v>
      </c>
    </row>
    <row r="11" customHeight="1" spans="1:14">
      <c r="A11" s="5" t="s">
        <v>82</v>
      </c>
      <c r="B11" s="5">
        <v>2</v>
      </c>
      <c r="C11" s="5" t="s">
        <v>103</v>
      </c>
      <c r="D11" s="6" t="s">
        <v>10</v>
      </c>
      <c r="E11" s="6" t="s">
        <v>10</v>
      </c>
      <c r="F11" s="7">
        <v>0.8</v>
      </c>
      <c r="G11" s="7">
        <v>0.18</v>
      </c>
      <c r="H11" s="6">
        <v>0.02</v>
      </c>
      <c r="I11" s="1" t="s">
        <v>234</v>
      </c>
    </row>
    <row r="12" customHeight="1" spans="1:14">
      <c r="A12" s="5" t="s">
        <v>84</v>
      </c>
      <c r="B12" s="5">
        <v>2</v>
      </c>
      <c r="C12" s="5" t="s">
        <v>103</v>
      </c>
      <c r="D12" s="6" t="s">
        <v>10</v>
      </c>
      <c r="E12" s="6" t="s">
        <v>10</v>
      </c>
      <c r="F12" s="7">
        <v>0.8</v>
      </c>
      <c r="G12" s="7">
        <v>0.18</v>
      </c>
      <c r="H12" s="6">
        <v>0.02</v>
      </c>
      <c r="I12" s="1" t="s">
        <v>235</v>
      </c>
    </row>
    <row r="13" customHeight="1" spans="1:14">
      <c r="A13" s="5" t="s">
        <v>86</v>
      </c>
      <c r="B13" s="5">
        <v>2</v>
      </c>
      <c r="C13" s="5" t="s">
        <v>103</v>
      </c>
      <c r="D13" s="6" t="s">
        <v>10</v>
      </c>
      <c r="E13" s="6" t="s">
        <v>10</v>
      </c>
      <c r="F13" s="7">
        <v>0.8</v>
      </c>
      <c r="G13" s="7">
        <v>0.18</v>
      </c>
      <c r="H13" s="6">
        <v>0.02</v>
      </c>
      <c r="I13" s="1" t="s">
        <v>236</v>
      </c>
      <c r="K13" s="1" t="s">
        <v>237</v>
      </c>
    </row>
    <row r="14" customHeight="1" spans="1:14">
      <c r="K14" s="1" t="s">
        <v>238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G1:K4"/>
  <sheetViews>
    <sheetView workbookViewId="0">
      <selection activeCell="A1" sqref="A1"/>
    </sheetView>
  </sheetViews>
  <sheetFormatPr defaultColWidth="12.6285714285714" defaultRowHeight="15.75" customHeight="1" outlineLevelRow="3"/>
  <cols>
    <col min="10" max="10" width="17.1333333333333" customWidth="1"/>
  </cols>
  <sheetData>
    <row r="1" customHeight="1" spans="7:11">
      <c r="G1" s="1" t="s">
        <v>239</v>
      </c>
      <c r="J1" s="1" t="s">
        <v>240</v>
      </c>
    </row>
    <row r="2" customHeight="1" spans="7:11">
      <c r="G2" s="1" t="s">
        <v>241</v>
      </c>
      <c r="H2" s="1">
        <v>20</v>
      </c>
      <c r="J2" s="1" t="s">
        <v>242</v>
      </c>
      <c r="K2" s="1">
        <v>1</v>
      </c>
    </row>
    <row r="3" customHeight="1" spans="7:11">
      <c r="G3" s="1" t="s">
        <v>243</v>
      </c>
      <c r="H3" s="1">
        <v>30</v>
      </c>
      <c r="J3" s="1" t="s">
        <v>244</v>
      </c>
      <c r="K3" s="1">
        <v>1</v>
      </c>
    </row>
    <row r="4" customHeight="1" spans="7:11">
      <c r="J4" s="1" t="s">
        <v>22</v>
      </c>
      <c r="K4" s="1">
        <v>10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科技节集卡册数值需求</vt:lpstr>
      <vt:lpstr>卡包BP数值</vt:lpstr>
      <vt:lpstr>节日三合一礼包投放数值</vt:lpstr>
      <vt:lpstr>配置辅助</vt:lpstr>
      <vt:lpstr>竞品参考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linkang</cp:lastModifiedBy>
  <dcterms:created xsi:type="dcterms:W3CDTF">2026-02-05T07:40:22Z</dcterms:created>
  <dcterms:modified xsi:type="dcterms:W3CDTF">2026-02-05T07:40:27Z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9490B19DD45D4509880E3B0CDE8C52A4_12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